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<sst xmlns="http://schemas.openxmlformats.org/spreadsheetml/2006/main" count="102" uniqueCount="33">
  <si>
    <t xml:space="preserve">Sex </t>
  </si>
  <si>
    <t>Year</t>
  </si>
  <si>
    <t xml:space="preserve">Deaths </t>
  </si>
  <si>
    <t>Age Adjusted Rate</t>
  </si>
  <si>
    <t>Age Adjusted Rate Lower 95% Confidence Interval</t>
  </si>
  <si>
    <t>Age Adjusted Rate Upper 95% Confidence Interval</t>
  </si>
  <si>
    <t>Age Adjusted Rate Standard Error</t>
  </si>
  <si>
    <t>Female</t>
  </si>
  <si>
    <t>ESTIMATED JOINTPOINTS</t>
  </si>
  <si>
    <t>Cohort</t>
  </si>
  <si>
    <t>Joinpoint</t>
  </si>
  <si>
    <t>Estimate</t>
  </si>
  <si>
    <t>Lower CI</t>
  </si>
  <si>
    <t>Upper CI</t>
  </si>
  <si>
    <t>Female - 2 Joinpoints</t>
  </si>
  <si>
    <t>Male - 2 Joinpoints</t>
  </si>
  <si>
    <t>ANNUAL PERCENTAGE CHANGE (APC)</t>
  </si>
  <si>
    <t>Segment</t>
  </si>
  <si>
    <t>Lower Endpoint</t>
  </si>
  <si>
    <t>Upper Endpoint</t>
  </si>
  <si>
    <t>APC</t>
  </si>
  <si>
    <t>Prob &gt; |t|</t>
  </si>
  <si>
    <t>Test Statistic (t)</t>
  </si>
  <si>
    <t xml:space="preserve">total female </t>
  </si>
  <si>
    <t>Male</t>
  </si>
  <si>
    <t>15.0111*</t>
  </si>
  <si>
    <t>AVERAGE ANNUAL PERCENTAGE CHANGE (AAPC)</t>
  </si>
  <si>
    <t>Range</t>
  </si>
  <si>
    <t>AAPC</t>
  </si>
  <si>
    <t>P-Value~</t>
  </si>
  <si>
    <t>Test Statistic~</t>
  </si>
  <si>
    <t>Full Range</t>
  </si>
  <si>
    <t xml:space="preserve">total male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</si>
</sst>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FF"/>
      <name val="Arial"/>
      <scheme val="minor"/>
    </font>
    <font>
      <b/>
      <color rgb="FF0000FF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5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6" fontId="3" numFmtId="0" xfId="0" applyAlignment="1" applyFill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0</xdr:row>
      <xdr:rowOff>447675</xdr:rowOff>
    </xdr:from>
    <xdr:ext cx="6334125" cy="3324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  <col customWidth="1" min="5" max="5" width="16.13"/>
    <col customWidth="1" min="9" max="9" width="18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>
      <c r="A2" s="4" t="s">
        <v>7</v>
      </c>
      <c r="B2" s="5">
        <v>1999.0</v>
      </c>
      <c r="C2" s="5">
        <v>257.0</v>
      </c>
      <c r="D2" s="5">
        <v>0.24</v>
      </c>
      <c r="E2" s="5">
        <v>0.21</v>
      </c>
      <c r="F2" s="5">
        <v>0.27</v>
      </c>
      <c r="G2" s="5">
        <v>0.02</v>
      </c>
    </row>
    <row r="3">
      <c r="A3" s="4" t="s">
        <v>7</v>
      </c>
      <c r="B3" s="5">
        <v>2000.0</v>
      </c>
      <c r="C3" s="5">
        <v>277.0</v>
      </c>
      <c r="D3" s="5">
        <v>0.27</v>
      </c>
      <c r="E3" s="5">
        <v>0.24</v>
      </c>
      <c r="F3" s="5">
        <v>0.3</v>
      </c>
      <c r="G3" s="5">
        <v>0.02</v>
      </c>
    </row>
    <row r="4">
      <c r="A4" s="4" t="s">
        <v>7</v>
      </c>
      <c r="B4" s="5">
        <v>2001.0</v>
      </c>
      <c r="C4" s="5">
        <v>250.0</v>
      </c>
      <c r="D4" s="5">
        <v>0.21</v>
      </c>
      <c r="E4" s="5">
        <v>0.18</v>
      </c>
      <c r="F4" s="5">
        <v>0.24</v>
      </c>
      <c r="G4" s="5">
        <v>0.01</v>
      </c>
    </row>
    <row r="5">
      <c r="A5" s="4" t="s">
        <v>7</v>
      </c>
      <c r="B5" s="5">
        <v>2002.0</v>
      </c>
      <c r="C5" s="5">
        <v>287.0</v>
      </c>
      <c r="D5" s="5">
        <v>0.26</v>
      </c>
      <c r="E5" s="5">
        <v>0.23</v>
      </c>
      <c r="F5" s="5">
        <v>0.29</v>
      </c>
      <c r="G5" s="5">
        <v>0.02</v>
      </c>
    </row>
    <row r="6">
      <c r="A6" s="4" t="s">
        <v>7</v>
      </c>
      <c r="B6" s="5">
        <v>2003.0</v>
      </c>
      <c r="C6" s="5">
        <v>290.0</v>
      </c>
      <c r="D6" s="5">
        <v>0.26</v>
      </c>
      <c r="E6" s="5">
        <v>0.23</v>
      </c>
      <c r="F6" s="5">
        <v>0.29</v>
      </c>
      <c r="G6" s="5">
        <v>0.02</v>
      </c>
    </row>
    <row r="7">
      <c r="A7" s="4" t="s">
        <v>7</v>
      </c>
      <c r="B7" s="5">
        <v>2004.0</v>
      </c>
      <c r="C7" s="5">
        <v>260.0</v>
      </c>
      <c r="D7" s="5">
        <v>0.24</v>
      </c>
      <c r="E7" s="5">
        <v>0.21</v>
      </c>
      <c r="F7" s="5">
        <v>0.27</v>
      </c>
      <c r="G7" s="5">
        <v>0.02</v>
      </c>
    </row>
    <row r="8">
      <c r="A8" s="4" t="s">
        <v>7</v>
      </c>
      <c r="B8" s="5">
        <v>2005.0</v>
      </c>
      <c r="C8" s="5">
        <v>275.0</v>
      </c>
      <c r="D8" s="5">
        <v>0.24</v>
      </c>
      <c r="E8" s="5">
        <v>0.21</v>
      </c>
      <c r="F8" s="5">
        <v>0.26</v>
      </c>
      <c r="G8" s="5">
        <v>0.01</v>
      </c>
    </row>
    <row r="9">
      <c r="A9" s="4" t="s">
        <v>7</v>
      </c>
      <c r="B9" s="5">
        <v>2006.0</v>
      </c>
      <c r="C9" s="5">
        <v>275.0</v>
      </c>
      <c r="D9" s="5">
        <v>0.24</v>
      </c>
      <c r="E9" s="5">
        <v>0.21</v>
      </c>
      <c r="F9" s="5">
        <v>0.26</v>
      </c>
      <c r="G9" s="5">
        <v>0.01</v>
      </c>
    </row>
    <row r="10">
      <c r="A10" s="4" t="s">
        <v>7</v>
      </c>
      <c r="B10" s="5">
        <v>2007.0</v>
      </c>
      <c r="C10" s="5">
        <v>263.0</v>
      </c>
      <c r="D10" s="5">
        <v>0.22</v>
      </c>
      <c r="E10" s="5">
        <v>0.2</v>
      </c>
      <c r="F10" s="5">
        <v>0.25</v>
      </c>
      <c r="G10" s="5">
        <v>0.01</v>
      </c>
    </row>
    <row r="11">
      <c r="A11" s="4" t="s">
        <v>7</v>
      </c>
      <c r="B11" s="5">
        <v>2008.0</v>
      </c>
      <c r="C11" s="5">
        <v>248.0</v>
      </c>
      <c r="D11" s="5">
        <v>0.21</v>
      </c>
      <c r="E11" s="5">
        <v>0.18</v>
      </c>
      <c r="F11" s="5">
        <v>0.24</v>
      </c>
      <c r="G11" s="5">
        <v>0.01</v>
      </c>
    </row>
    <row r="12">
      <c r="A12" s="4" t="s">
        <v>7</v>
      </c>
      <c r="B12" s="5">
        <v>2009.0</v>
      </c>
      <c r="C12" s="5">
        <v>280.0</v>
      </c>
      <c r="D12" s="5">
        <v>0.22</v>
      </c>
      <c r="E12" s="5">
        <v>0.2</v>
      </c>
      <c r="F12" s="5">
        <v>0.25</v>
      </c>
      <c r="G12" s="5">
        <v>0.01</v>
      </c>
    </row>
    <row r="13">
      <c r="A13" s="4" t="s">
        <v>7</v>
      </c>
      <c r="B13" s="5">
        <v>2010.0</v>
      </c>
      <c r="C13" s="5">
        <v>308.0</v>
      </c>
      <c r="D13" s="5">
        <v>0.24</v>
      </c>
      <c r="E13" s="5">
        <v>0.21</v>
      </c>
      <c r="F13" s="5">
        <v>0.27</v>
      </c>
      <c r="G13" s="5">
        <v>0.01</v>
      </c>
    </row>
    <row r="14">
      <c r="A14" s="4" t="s">
        <v>7</v>
      </c>
      <c r="B14" s="5">
        <v>2011.0</v>
      </c>
      <c r="C14" s="5">
        <v>302.0</v>
      </c>
      <c r="D14" s="5">
        <v>0.24</v>
      </c>
      <c r="E14" s="5">
        <v>0.21</v>
      </c>
      <c r="F14" s="5">
        <v>0.27</v>
      </c>
      <c r="G14" s="5">
        <v>0.01</v>
      </c>
    </row>
    <row r="15">
      <c r="A15" s="4" t="s">
        <v>7</v>
      </c>
      <c r="B15" s="5">
        <v>2012.0</v>
      </c>
      <c r="C15" s="5">
        <v>286.0</v>
      </c>
      <c r="D15" s="5">
        <v>0.23</v>
      </c>
      <c r="E15" s="5">
        <v>0.2</v>
      </c>
      <c r="F15" s="5">
        <v>0.26</v>
      </c>
      <c r="G15" s="5">
        <v>0.01</v>
      </c>
    </row>
    <row r="16">
      <c r="A16" s="4" t="s">
        <v>7</v>
      </c>
      <c r="B16" s="5">
        <v>2013.0</v>
      </c>
      <c r="C16" s="5">
        <v>303.0</v>
      </c>
      <c r="D16" s="5">
        <v>0.24</v>
      </c>
      <c r="E16" s="5">
        <v>0.21</v>
      </c>
      <c r="F16" s="5">
        <v>0.27</v>
      </c>
      <c r="G16" s="5">
        <v>0.01</v>
      </c>
    </row>
    <row r="17">
      <c r="A17" s="4" t="s">
        <v>7</v>
      </c>
      <c r="B17" s="5">
        <v>2014.0</v>
      </c>
      <c r="C17" s="5">
        <v>283.0</v>
      </c>
      <c r="D17" s="5">
        <v>0.22</v>
      </c>
      <c r="E17" s="5">
        <v>0.19</v>
      </c>
      <c r="F17" s="5">
        <v>0.24</v>
      </c>
      <c r="G17" s="5">
        <v>0.01</v>
      </c>
    </row>
    <row r="18">
      <c r="A18" s="4" t="s">
        <v>7</v>
      </c>
      <c r="B18" s="5">
        <v>2015.0</v>
      </c>
      <c r="C18" s="5">
        <v>273.0</v>
      </c>
      <c r="D18" s="5">
        <v>0.21</v>
      </c>
      <c r="E18" s="5">
        <v>0.18</v>
      </c>
      <c r="F18" s="5">
        <v>0.23</v>
      </c>
      <c r="G18" s="5">
        <v>0.01</v>
      </c>
      <c r="I18" s="6" t="s">
        <v>8</v>
      </c>
    </row>
    <row r="19">
      <c r="A19" s="4" t="s">
        <v>7</v>
      </c>
      <c r="B19" s="5">
        <v>2016.0</v>
      </c>
      <c r="C19" s="5">
        <v>329.0</v>
      </c>
      <c r="D19" s="5">
        <v>0.23</v>
      </c>
      <c r="E19" s="5">
        <v>0.2</v>
      </c>
      <c r="F19" s="5">
        <v>0.26</v>
      </c>
      <c r="G19" s="5">
        <v>0.01</v>
      </c>
      <c r="I19" s="7" t="s">
        <v>9</v>
      </c>
      <c r="J19" s="7" t="s">
        <v>10</v>
      </c>
      <c r="K19" s="7" t="s">
        <v>11</v>
      </c>
      <c r="L19" s="7" t="s">
        <v>12</v>
      </c>
      <c r="M19" s="7" t="s">
        <v>13</v>
      </c>
      <c r="N19" s="8"/>
      <c r="O19" s="8"/>
      <c r="P19" s="8"/>
      <c r="Q19" s="8"/>
    </row>
    <row r="20">
      <c r="A20" s="4" t="s">
        <v>7</v>
      </c>
      <c r="B20" s="5">
        <v>2017.0</v>
      </c>
      <c r="C20" s="5">
        <v>348.0</v>
      </c>
      <c r="D20" s="5">
        <v>0.23</v>
      </c>
      <c r="E20" s="5">
        <v>0.21</v>
      </c>
      <c r="F20" s="5">
        <v>0.26</v>
      </c>
      <c r="G20" s="5">
        <v>0.01</v>
      </c>
      <c r="I20" s="9" t="s">
        <v>14</v>
      </c>
      <c r="J20" s="9">
        <v>1.0</v>
      </c>
      <c r="K20" s="9">
        <v>2018.0</v>
      </c>
      <c r="L20" s="9">
        <v>2016.0</v>
      </c>
      <c r="M20" s="9">
        <v>2019.0</v>
      </c>
    </row>
    <row r="21">
      <c r="A21" s="4" t="s">
        <v>7</v>
      </c>
      <c r="B21" s="5">
        <v>2018.0</v>
      </c>
      <c r="C21" s="5">
        <v>350.0</v>
      </c>
      <c r="D21" s="5">
        <v>0.23</v>
      </c>
      <c r="E21" s="5">
        <v>0.21</v>
      </c>
      <c r="F21" s="5">
        <v>0.26</v>
      </c>
      <c r="G21" s="5">
        <v>0.01</v>
      </c>
      <c r="I21" s="9" t="s">
        <v>14</v>
      </c>
      <c r="J21" s="9">
        <v>2.0</v>
      </c>
      <c r="K21" s="9">
        <v>2021.0</v>
      </c>
      <c r="L21" s="9">
        <v>2019.0</v>
      </c>
      <c r="M21" s="9">
        <v>2022.0</v>
      </c>
    </row>
    <row r="22">
      <c r="A22" s="4" t="s">
        <v>7</v>
      </c>
      <c r="B22" s="5">
        <v>2019.0</v>
      </c>
      <c r="C22" s="5">
        <v>352.0</v>
      </c>
      <c r="D22" s="5">
        <v>0.23</v>
      </c>
      <c r="E22" s="5">
        <v>0.2</v>
      </c>
      <c r="F22" s="5">
        <v>0.25</v>
      </c>
      <c r="G22" s="5">
        <v>0.01</v>
      </c>
      <c r="I22" s="9" t="s">
        <v>15</v>
      </c>
      <c r="J22" s="9">
        <v>1.0</v>
      </c>
      <c r="K22" s="9">
        <v>2018.0</v>
      </c>
      <c r="L22" s="9">
        <v>2014.0</v>
      </c>
      <c r="M22" s="9">
        <v>2019.0</v>
      </c>
    </row>
    <row r="23">
      <c r="A23" s="4" t="s">
        <v>7</v>
      </c>
      <c r="B23" s="5">
        <v>2020.0</v>
      </c>
      <c r="C23" s="5">
        <v>508.0</v>
      </c>
      <c r="D23" s="5">
        <v>0.34</v>
      </c>
      <c r="E23" s="5">
        <v>0.31</v>
      </c>
      <c r="F23" s="5">
        <v>0.37</v>
      </c>
      <c r="G23" s="5">
        <v>0.02</v>
      </c>
      <c r="I23" s="9" t="s">
        <v>15</v>
      </c>
      <c r="J23" s="9">
        <v>2.0</v>
      </c>
      <c r="K23" s="9">
        <v>2022.0</v>
      </c>
      <c r="L23" s="9">
        <v>2020.0</v>
      </c>
      <c r="M23" s="9">
        <v>2022.0</v>
      </c>
    </row>
    <row r="24">
      <c r="A24" s="4" t="s">
        <v>7</v>
      </c>
      <c r="B24" s="5">
        <v>2021.0</v>
      </c>
      <c r="C24" s="5">
        <v>484.0</v>
      </c>
      <c r="D24" s="5">
        <v>0.35</v>
      </c>
      <c r="E24" s="5">
        <v>0.32</v>
      </c>
      <c r="F24" s="5">
        <v>0.38</v>
      </c>
      <c r="G24" s="5">
        <v>0.02</v>
      </c>
      <c r="I24" s="6" t="s">
        <v>16</v>
      </c>
    </row>
    <row r="25">
      <c r="A25" s="4" t="s">
        <v>7</v>
      </c>
      <c r="B25" s="5">
        <v>2022.0</v>
      </c>
      <c r="C25" s="5">
        <v>487.0</v>
      </c>
      <c r="D25" s="5">
        <v>0.31</v>
      </c>
      <c r="E25" s="5">
        <v>0.29</v>
      </c>
      <c r="F25" s="5">
        <v>0.34</v>
      </c>
      <c r="G25" s="5">
        <v>0.01</v>
      </c>
      <c r="I25" s="7" t="s">
        <v>9</v>
      </c>
      <c r="J25" s="7" t="s">
        <v>17</v>
      </c>
      <c r="K25" s="7" t="s">
        <v>18</v>
      </c>
      <c r="L25" s="7" t="s">
        <v>19</v>
      </c>
      <c r="M25" s="7" t="s">
        <v>20</v>
      </c>
      <c r="N25" s="7" t="s">
        <v>12</v>
      </c>
      <c r="O25" s="7" t="s">
        <v>13</v>
      </c>
      <c r="P25" s="7" t="s">
        <v>21</v>
      </c>
      <c r="Q25" s="7" t="s">
        <v>22</v>
      </c>
    </row>
    <row r="26">
      <c r="A26" s="4" t="s">
        <v>7</v>
      </c>
      <c r="B26" s="5">
        <v>2023.0</v>
      </c>
      <c r="C26" s="5">
        <v>474.0</v>
      </c>
      <c r="D26" s="5">
        <v>0.3</v>
      </c>
      <c r="E26" s="5">
        <v>0.27</v>
      </c>
      <c r="F26" s="5">
        <v>0.33</v>
      </c>
      <c r="G26" s="5">
        <v>0.01</v>
      </c>
      <c r="I26" s="9" t="s">
        <v>14</v>
      </c>
      <c r="J26" s="9">
        <v>1.0</v>
      </c>
      <c r="K26" s="9">
        <v>1999.0</v>
      </c>
      <c r="L26" s="9">
        <v>2018.0</v>
      </c>
      <c r="M26" s="9">
        <v>-0.3328</v>
      </c>
      <c r="N26" s="9">
        <v>-0.9194</v>
      </c>
      <c r="O26" s="9">
        <v>0.2573</v>
      </c>
      <c r="P26" s="9">
        <v>0.250847</v>
      </c>
      <c r="Q26" s="9">
        <v>-1.1865</v>
      </c>
    </row>
    <row r="27">
      <c r="A27" s="4" t="s">
        <v>7</v>
      </c>
      <c r="B27" s="5">
        <v>2024.0</v>
      </c>
      <c r="C27" s="5">
        <v>507.0</v>
      </c>
      <c r="D27" s="5">
        <v>0.3</v>
      </c>
      <c r="E27" s="5">
        <v>0.28</v>
      </c>
      <c r="F27" s="5">
        <v>0.33</v>
      </c>
      <c r="G27" s="5">
        <v>0.01</v>
      </c>
      <c r="I27" s="9" t="s">
        <v>14</v>
      </c>
      <c r="J27" s="9">
        <v>2.0</v>
      </c>
      <c r="K27" s="9">
        <v>2018.0</v>
      </c>
      <c r="L27" s="9">
        <v>2021.0</v>
      </c>
      <c r="M27" s="9">
        <v>14.2259</v>
      </c>
      <c r="N27" s="9">
        <v>-5.6072</v>
      </c>
      <c r="O27" s="9">
        <v>38.2262</v>
      </c>
      <c r="P27" s="9">
        <v>0.160106</v>
      </c>
      <c r="Q27" s="9">
        <v>1.4652</v>
      </c>
    </row>
    <row r="28">
      <c r="A28" s="10" t="s">
        <v>23</v>
      </c>
      <c r="B28" s="5"/>
      <c r="C28" s="5">
        <f>SUM(C2:C27)</f>
        <v>8556</v>
      </c>
      <c r="D28" s="5"/>
      <c r="E28" s="5"/>
      <c r="F28" s="5"/>
      <c r="G28" s="5"/>
      <c r="I28" s="9" t="s">
        <v>14</v>
      </c>
      <c r="J28" s="9">
        <v>3.0</v>
      </c>
      <c r="K28" s="9">
        <v>2021.0</v>
      </c>
      <c r="L28" s="9">
        <v>2024.0</v>
      </c>
      <c r="M28" s="9">
        <v>-4.2448</v>
      </c>
      <c r="N28" s="9">
        <v>-9.8626</v>
      </c>
      <c r="O28" s="9">
        <v>1.7231</v>
      </c>
      <c r="P28" s="9">
        <v>0.149092</v>
      </c>
      <c r="Q28" s="9">
        <v>-1.5073</v>
      </c>
    </row>
    <row r="29">
      <c r="A29" s="11" t="s">
        <v>24</v>
      </c>
      <c r="B29" s="5">
        <v>1999.0</v>
      </c>
      <c r="C29" s="5">
        <v>294.0</v>
      </c>
      <c r="D29" s="5">
        <v>0.38</v>
      </c>
      <c r="E29" s="5">
        <v>0.33</v>
      </c>
      <c r="F29" s="5">
        <v>0.42</v>
      </c>
      <c r="G29" s="5">
        <v>0.02</v>
      </c>
      <c r="I29" s="9" t="s">
        <v>15</v>
      </c>
      <c r="J29" s="9">
        <v>1.0</v>
      </c>
      <c r="K29" s="9">
        <v>1999.0</v>
      </c>
      <c r="L29" s="9">
        <v>2018.0</v>
      </c>
      <c r="M29" s="9">
        <v>-0.3823</v>
      </c>
      <c r="N29" s="9">
        <v>-1.1072</v>
      </c>
      <c r="O29" s="9">
        <v>0.3478</v>
      </c>
      <c r="P29" s="9">
        <v>0.284999</v>
      </c>
      <c r="Q29" s="9">
        <v>-1.102</v>
      </c>
    </row>
    <row r="30">
      <c r="A30" s="11" t="s">
        <v>24</v>
      </c>
      <c r="B30" s="5">
        <v>2000.0</v>
      </c>
      <c r="C30" s="5">
        <v>272.0</v>
      </c>
      <c r="D30" s="5">
        <v>0.39</v>
      </c>
      <c r="E30" s="5">
        <v>0.34</v>
      </c>
      <c r="F30" s="5">
        <v>0.44</v>
      </c>
      <c r="G30" s="5">
        <v>0.02</v>
      </c>
      <c r="I30" s="9" t="s">
        <v>15</v>
      </c>
      <c r="J30" s="9">
        <v>2.0</v>
      </c>
      <c r="K30" s="9">
        <v>2018.0</v>
      </c>
      <c r="L30" s="9">
        <v>2022.0</v>
      </c>
      <c r="M30" s="9" t="s">
        <v>25</v>
      </c>
      <c r="N30" s="9">
        <v>4.1316</v>
      </c>
      <c r="O30" s="9">
        <v>27.0273</v>
      </c>
      <c r="P30" s="9">
        <v>0.00844</v>
      </c>
      <c r="Q30" s="9">
        <v>2.9569</v>
      </c>
    </row>
    <row r="31">
      <c r="A31" s="11" t="s">
        <v>24</v>
      </c>
      <c r="B31" s="5">
        <v>2001.0</v>
      </c>
      <c r="C31" s="5">
        <v>298.0</v>
      </c>
      <c r="D31" s="5">
        <v>0.36</v>
      </c>
      <c r="E31" s="5">
        <v>0.32</v>
      </c>
      <c r="F31" s="5">
        <v>0.4</v>
      </c>
      <c r="G31" s="5">
        <v>0.02</v>
      </c>
      <c r="I31" s="9" t="s">
        <v>15</v>
      </c>
      <c r="J31" s="9">
        <v>3.0</v>
      </c>
      <c r="K31" s="9">
        <v>2022.0</v>
      </c>
      <c r="L31" s="9">
        <v>2024.0</v>
      </c>
      <c r="M31" s="9">
        <v>-11.97</v>
      </c>
      <c r="N31" s="9">
        <v>-26.8623</v>
      </c>
      <c r="O31" s="9">
        <v>5.9546</v>
      </c>
      <c r="P31" s="9">
        <v>0.165573</v>
      </c>
      <c r="Q31" s="9">
        <v>-1.4452</v>
      </c>
    </row>
    <row r="32">
      <c r="A32" s="11" t="s">
        <v>24</v>
      </c>
      <c r="B32" s="5">
        <v>2002.0</v>
      </c>
      <c r="C32" s="5">
        <v>308.0</v>
      </c>
      <c r="D32" s="5">
        <v>0.39</v>
      </c>
      <c r="E32" s="5">
        <v>0.34</v>
      </c>
      <c r="F32" s="5">
        <v>0.43</v>
      </c>
      <c r="G32" s="5">
        <v>0.02</v>
      </c>
      <c r="I32" s="6" t="s">
        <v>26</v>
      </c>
    </row>
    <row r="33">
      <c r="A33" s="11" t="s">
        <v>24</v>
      </c>
      <c r="B33" s="5">
        <v>2003.0</v>
      </c>
      <c r="C33" s="5">
        <v>334.0</v>
      </c>
      <c r="D33" s="5">
        <v>0.43</v>
      </c>
      <c r="E33" s="5">
        <v>0.38</v>
      </c>
      <c r="F33" s="5">
        <v>0.47</v>
      </c>
      <c r="G33" s="5">
        <v>0.02</v>
      </c>
      <c r="I33" s="7" t="s">
        <v>9</v>
      </c>
      <c r="J33" s="7" t="s">
        <v>27</v>
      </c>
      <c r="K33" s="7" t="s">
        <v>18</v>
      </c>
      <c r="L33" s="7" t="s">
        <v>19</v>
      </c>
      <c r="M33" s="7" t="s">
        <v>28</v>
      </c>
      <c r="N33" s="7" t="s">
        <v>12</v>
      </c>
      <c r="O33" s="7" t="s">
        <v>13</v>
      </c>
      <c r="P33" s="7" t="s">
        <v>29</v>
      </c>
      <c r="Q33" s="7" t="s">
        <v>30</v>
      </c>
    </row>
    <row r="34">
      <c r="A34" s="11" t="s">
        <v>24</v>
      </c>
      <c r="B34" s="5">
        <v>2004.0</v>
      </c>
      <c r="C34" s="5">
        <v>294.0</v>
      </c>
      <c r="D34" s="5">
        <v>0.37</v>
      </c>
      <c r="E34" s="5">
        <v>0.32</v>
      </c>
      <c r="F34" s="5">
        <v>0.41</v>
      </c>
      <c r="G34" s="5">
        <v>0.02</v>
      </c>
      <c r="I34" s="9" t="s">
        <v>14</v>
      </c>
      <c r="J34" s="9" t="s">
        <v>31</v>
      </c>
      <c r="K34" s="9">
        <v>1999.0</v>
      </c>
      <c r="L34" s="9">
        <v>2024.0</v>
      </c>
      <c r="M34" s="9">
        <v>0.8256</v>
      </c>
      <c r="N34" s="9">
        <v>-1.4457</v>
      </c>
      <c r="O34" s="9">
        <v>3.1493</v>
      </c>
      <c r="P34" s="9">
        <v>0.479395</v>
      </c>
      <c r="Q34" s="9">
        <v>0.7073</v>
      </c>
    </row>
    <row r="35">
      <c r="A35" s="11" t="s">
        <v>24</v>
      </c>
      <c r="B35" s="5">
        <v>2005.0</v>
      </c>
      <c r="C35" s="5">
        <v>319.0</v>
      </c>
      <c r="D35" s="5">
        <v>0.37</v>
      </c>
      <c r="E35" s="5">
        <v>0.33</v>
      </c>
      <c r="F35" s="5">
        <v>0.42</v>
      </c>
      <c r="G35" s="5">
        <v>0.02</v>
      </c>
      <c r="I35" s="9" t="s">
        <v>15</v>
      </c>
      <c r="J35" s="9" t="s">
        <v>31</v>
      </c>
      <c r="K35" s="9">
        <v>1999.0</v>
      </c>
      <c r="L35" s="9">
        <v>2024.0</v>
      </c>
      <c r="M35" s="9">
        <v>0.931</v>
      </c>
      <c r="N35" s="9">
        <v>-1.1597</v>
      </c>
      <c r="O35" s="9">
        <v>3.0659</v>
      </c>
      <c r="P35" s="9">
        <v>0.38556</v>
      </c>
      <c r="Q35" s="9">
        <v>0.8677</v>
      </c>
    </row>
    <row r="36">
      <c r="A36" s="11" t="s">
        <v>24</v>
      </c>
      <c r="B36" s="5">
        <v>2006.0</v>
      </c>
      <c r="C36" s="5">
        <v>338.0</v>
      </c>
      <c r="D36" s="5">
        <v>0.38</v>
      </c>
      <c r="E36" s="5">
        <v>0.34</v>
      </c>
      <c r="F36" s="5">
        <v>0.42</v>
      </c>
      <c r="G36" s="5">
        <v>0.02</v>
      </c>
    </row>
    <row r="37">
      <c r="A37" s="11" t="s">
        <v>24</v>
      </c>
      <c r="B37" s="5">
        <v>2007.0</v>
      </c>
      <c r="C37" s="5">
        <v>305.0</v>
      </c>
      <c r="D37" s="5">
        <v>0.32</v>
      </c>
      <c r="E37" s="5">
        <v>0.28</v>
      </c>
      <c r="F37" s="5">
        <v>0.36</v>
      </c>
      <c r="G37" s="5">
        <v>0.02</v>
      </c>
    </row>
    <row r="38">
      <c r="A38" s="11" t="s">
        <v>24</v>
      </c>
      <c r="B38" s="5">
        <v>2008.0</v>
      </c>
      <c r="C38" s="5">
        <v>317.0</v>
      </c>
      <c r="D38" s="5">
        <v>0.35</v>
      </c>
      <c r="E38" s="5">
        <v>0.31</v>
      </c>
      <c r="F38" s="5">
        <v>0.39</v>
      </c>
      <c r="G38" s="5">
        <v>0.02</v>
      </c>
    </row>
    <row r="39">
      <c r="A39" s="11" t="s">
        <v>24</v>
      </c>
      <c r="B39" s="5">
        <v>2009.0</v>
      </c>
      <c r="C39" s="5">
        <v>301.0</v>
      </c>
      <c r="D39" s="5">
        <v>0.31</v>
      </c>
      <c r="E39" s="5">
        <v>0.27</v>
      </c>
      <c r="F39" s="5">
        <v>0.34</v>
      </c>
      <c r="G39" s="5">
        <v>0.02</v>
      </c>
    </row>
    <row r="40">
      <c r="A40" s="11" t="s">
        <v>24</v>
      </c>
      <c r="B40" s="5">
        <v>2010.0</v>
      </c>
      <c r="C40" s="5">
        <v>310.0</v>
      </c>
      <c r="D40" s="5">
        <v>0.31</v>
      </c>
      <c r="E40" s="5">
        <v>0.27</v>
      </c>
      <c r="F40" s="5">
        <v>0.35</v>
      </c>
      <c r="G40" s="5">
        <v>0.02</v>
      </c>
    </row>
    <row r="41">
      <c r="A41" s="11" t="s">
        <v>24</v>
      </c>
      <c r="B41" s="5">
        <v>2011.0</v>
      </c>
      <c r="C41" s="5">
        <v>342.0</v>
      </c>
      <c r="D41" s="5">
        <v>0.36</v>
      </c>
      <c r="E41" s="5">
        <v>0.32</v>
      </c>
      <c r="F41" s="5">
        <v>0.4</v>
      </c>
      <c r="G41" s="5">
        <v>0.02</v>
      </c>
    </row>
    <row r="42">
      <c r="A42" s="11" t="s">
        <v>24</v>
      </c>
      <c r="B42" s="5">
        <v>2012.0</v>
      </c>
      <c r="C42" s="5">
        <v>317.0</v>
      </c>
      <c r="D42" s="5">
        <v>0.32</v>
      </c>
      <c r="E42" s="5">
        <v>0.28</v>
      </c>
      <c r="F42" s="5">
        <v>0.36</v>
      </c>
      <c r="G42" s="5">
        <v>0.02</v>
      </c>
    </row>
    <row r="43">
      <c r="A43" s="11" t="s">
        <v>24</v>
      </c>
      <c r="B43" s="5">
        <v>2013.0</v>
      </c>
      <c r="C43" s="5">
        <v>372.0</v>
      </c>
      <c r="D43" s="5">
        <v>0.36</v>
      </c>
      <c r="E43" s="5">
        <v>0.32</v>
      </c>
      <c r="F43" s="5">
        <v>0.4</v>
      </c>
      <c r="G43" s="5">
        <v>0.02</v>
      </c>
    </row>
    <row r="44">
      <c r="A44" s="11" t="s">
        <v>24</v>
      </c>
      <c r="B44" s="5">
        <v>2014.0</v>
      </c>
      <c r="C44" s="5">
        <v>422.0</v>
      </c>
      <c r="D44" s="5">
        <v>0.41</v>
      </c>
      <c r="E44" s="5">
        <v>0.37</v>
      </c>
      <c r="F44" s="5">
        <v>0.44</v>
      </c>
      <c r="G44" s="5">
        <v>0.02</v>
      </c>
    </row>
    <row r="45">
      <c r="A45" s="11" t="s">
        <v>24</v>
      </c>
      <c r="B45" s="5">
        <v>2015.0</v>
      </c>
      <c r="C45" s="5">
        <v>372.0</v>
      </c>
      <c r="D45" s="5">
        <v>0.34</v>
      </c>
      <c r="E45" s="5">
        <v>0.31</v>
      </c>
      <c r="F45" s="5">
        <v>0.38</v>
      </c>
      <c r="G45" s="5">
        <v>0.02</v>
      </c>
    </row>
    <row r="46">
      <c r="A46" s="11" t="s">
        <v>24</v>
      </c>
      <c r="B46" s="5">
        <v>2016.0</v>
      </c>
      <c r="C46" s="5">
        <v>416.0</v>
      </c>
      <c r="D46" s="5">
        <v>0.37</v>
      </c>
      <c r="E46" s="5">
        <v>0.33</v>
      </c>
      <c r="F46" s="5">
        <v>0.41</v>
      </c>
      <c r="G46" s="5">
        <v>0.02</v>
      </c>
    </row>
    <row r="47">
      <c r="A47" s="11" t="s">
        <v>24</v>
      </c>
      <c r="B47" s="5">
        <v>2017.0</v>
      </c>
      <c r="C47" s="5">
        <v>436.0</v>
      </c>
      <c r="D47" s="5">
        <v>0.38</v>
      </c>
      <c r="E47" s="5">
        <v>0.34</v>
      </c>
      <c r="F47" s="5">
        <v>0.42</v>
      </c>
      <c r="G47" s="5">
        <v>0.02</v>
      </c>
    </row>
    <row r="48">
      <c r="A48" s="11" t="s">
        <v>24</v>
      </c>
      <c r="B48" s="5">
        <v>2018.0</v>
      </c>
      <c r="C48" s="5">
        <v>425.0</v>
      </c>
      <c r="D48" s="5">
        <v>0.35</v>
      </c>
      <c r="E48" s="5">
        <v>0.32</v>
      </c>
      <c r="F48" s="5">
        <v>0.39</v>
      </c>
      <c r="G48" s="5">
        <v>0.02</v>
      </c>
    </row>
    <row r="49">
      <c r="A49" s="11" t="s">
        <v>24</v>
      </c>
      <c r="B49" s="5">
        <v>2019.0</v>
      </c>
      <c r="C49" s="5">
        <v>477.0</v>
      </c>
      <c r="D49" s="5">
        <v>0.39</v>
      </c>
      <c r="E49" s="5">
        <v>0.35</v>
      </c>
      <c r="F49" s="5">
        <v>0.42</v>
      </c>
      <c r="G49" s="5">
        <v>0.02</v>
      </c>
    </row>
    <row r="50">
      <c r="A50" s="11" t="s">
        <v>24</v>
      </c>
      <c r="B50" s="5">
        <v>2020.0</v>
      </c>
      <c r="C50" s="5">
        <v>566.0</v>
      </c>
      <c r="D50" s="5">
        <v>0.48</v>
      </c>
      <c r="E50" s="5">
        <v>0.43</v>
      </c>
      <c r="F50" s="5">
        <v>0.52</v>
      </c>
      <c r="G50" s="5">
        <v>0.02</v>
      </c>
    </row>
    <row r="51">
      <c r="A51" s="11" t="s">
        <v>24</v>
      </c>
      <c r="B51" s="5">
        <v>2021.0</v>
      </c>
      <c r="C51" s="5">
        <v>699.0</v>
      </c>
      <c r="D51" s="5">
        <v>0.57</v>
      </c>
      <c r="E51" s="5">
        <v>0.53</v>
      </c>
      <c r="F51" s="5">
        <v>0.62</v>
      </c>
      <c r="G51" s="5">
        <v>0.02</v>
      </c>
    </row>
    <row r="52">
      <c r="A52" s="11" t="s">
        <v>24</v>
      </c>
      <c r="B52" s="5">
        <v>2022.0</v>
      </c>
      <c r="C52" s="5">
        <v>736.0</v>
      </c>
      <c r="D52" s="5">
        <v>0.61</v>
      </c>
      <c r="E52" s="5">
        <v>0.56</v>
      </c>
      <c r="F52" s="5">
        <v>0.65</v>
      </c>
      <c r="G52" s="5">
        <v>0.02</v>
      </c>
    </row>
    <row r="53">
      <c r="A53" s="11" t="s">
        <v>24</v>
      </c>
      <c r="B53" s="5">
        <v>2023.0</v>
      </c>
      <c r="C53" s="5">
        <v>648.0</v>
      </c>
      <c r="D53" s="5">
        <v>0.5</v>
      </c>
      <c r="E53" s="5">
        <v>0.46</v>
      </c>
      <c r="F53" s="5">
        <v>0.54</v>
      </c>
      <c r="G53" s="5">
        <v>0.02</v>
      </c>
    </row>
    <row r="54">
      <c r="A54" s="11" t="s">
        <v>24</v>
      </c>
      <c r="B54" s="5">
        <v>2024.0</v>
      </c>
      <c r="C54" s="5">
        <v>632.0</v>
      </c>
      <c r="D54" s="5">
        <v>0.5</v>
      </c>
      <c r="E54" s="5">
        <v>0.46</v>
      </c>
      <c r="F54" s="5">
        <v>0.54</v>
      </c>
      <c r="G54" s="5">
        <v>0.02</v>
      </c>
    </row>
    <row r="55">
      <c r="A55" s="9" t="s">
        <v>32</v>
      </c>
      <c r="C55" s="12">
        <f>SUM(C29:C54)</f>
        <v>10550</v>
      </c>
    </row>
  </sheetData>
  <mergeCells count="3">
    <mergeCell ref="I18:M18"/>
    <mergeCell ref="I24:Q24"/>
    <mergeCell ref="I32:Q32"/>
  </mergeCells>
  <drawing r:id="rId1"/>
</worksheet>
</file>