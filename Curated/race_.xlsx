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<sst xmlns="http://schemas.openxmlformats.org/spreadsheetml/2006/main" count="155" uniqueCount="44">
  <si>
    <t>Race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</si>
  <si>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</si>
  <si>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</si>
  <si>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</si>
  <si>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</si>
  <si>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</si>
  <si>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</si>
  <si>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White</t>
  </si>
  <si>
    <t>ESTIMATED JOINTPOINTS</t>
  </si>
  <si>
    <t>Cohort</t>
  </si>
  <si>
    <t>Joinpoint</t>
  </si>
  <si>
    <t>Estimate</t>
  </si>
  <si>
    <t>Lower CI</t>
  </si>
  <si>
    <t>Upper CI</t>
  </si>
  <si>
    <t>White - 2 Joinpoints</t>
  </si>
  <si>
    <t>Black or African American - 1 Joinpoint</t>
  </si>
  <si>
    <t>Hispanic or Latino - 1 Joinpoint</t>
  </si>
  <si>
    <t>ANNUAL PERCENTAGE CHANGE (APC)</t>
  </si>
  <si>
    <t>Total</t>
  </si>
  <si>
    <t>Segment</t>
  </si>
  <si>
    <t>Lower Endpoint</t>
  </si>
  <si>
    <t>Upper Endpoint</t>
  </si>
  <si>
    <t>APC</t>
  </si>
  <si>
    <t>Prob &gt; |t|</t>
  </si>
  <si>
    <t>Test Statistic (t)</t>
  </si>
  <si>
    <t>Black or African American</t>
  </si>
  <si>
    <t>6.1838*</t>
  </si>
  <si>
    <t>-4.3315*</t>
  </si>
  <si>
    <t>5.7009*</t>
  </si>
  <si>
    <t>Asian - 0 Joinpoints</t>
  </si>
  <si>
    <t>AVERAGE ANNUAL PERCENTAGE CHANGE (AAPC)</t>
  </si>
  <si>
    <t>Range</t>
  </si>
  <si>
    <t>AAPC</t>
  </si>
  <si>
    <t>P-Value~</t>
  </si>
  <si>
    <t>Test Statistic~</t>
  </si>
  <si>
    <t>Full Range</t>
  </si>
  <si>
    <t>1.3963*</t>
  </si>
  <si>
    <t>Hispanic or Latino</t>
  </si>
  <si>
    <t>Unreliable</t>
  </si>
  <si>
    <t xml:space="preserve">total </t>
  </si>
  <si>
    <t>Asian</t>
  </si>
  <si>
    <t>Suppressed</t>
  </si>
  <si>
    <t>Year 2001 and 2006 were excluded from the analysis of hispanic/latino because of unreliable age-adjusted rates</t>
  </si>
  <si>
    <t>year 2018 was excluded from analysis of asian because of suppressed mortality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</si>
</sst>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Calibri"/>
    </font>
    <font>
      <sz val="11.0"/>
      <color theme="1"/>
      <name val="Calibri"/>
    </font>
    <font>
      <b/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4" xfId="0" applyAlignment="1" applyBorder="1" applyFill="1" applyFont="1" applyNumberForma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vertical="bottom"/>
    </xf>
    <xf borderId="0" fillId="0" fontId="5" numFmtId="0" xfId="0" applyFont="1"/>
    <xf borderId="1" fillId="5" fontId="2" numFmtId="0" xfId="0" applyAlignment="1" applyBorder="1" applyFill="1" applyFont="1">
      <alignment horizontal="center" shrinkToFit="0" vertical="bottom" wrapText="1"/>
    </xf>
    <xf borderId="0" fillId="4" fontId="4" numFmtId="0" xfId="0" applyAlignment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7" fontId="2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0</xdr:row>
      <xdr:rowOff>247650</xdr:rowOff>
    </xdr:from>
    <xdr:ext cx="7734300" cy="3895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1.5"/>
    <col customWidth="1" min="11" max="11" width="14.13"/>
    <col customWidth="1" min="12" max="12" width="1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1999.0</v>
      </c>
      <c r="C2" s="5">
        <v>484.0</v>
      </c>
      <c r="D2" s="5">
        <v>0.29</v>
      </c>
      <c r="E2" s="5">
        <v>0.27</v>
      </c>
      <c r="F2" s="5">
        <v>0.32</v>
      </c>
      <c r="G2" s="5">
        <v>0.01</v>
      </c>
    </row>
    <row r="3">
      <c r="A3" s="3" t="s">
        <v>7</v>
      </c>
      <c r="B3" s="4">
        <v>2000.0</v>
      </c>
      <c r="C3" s="5">
        <v>482.0</v>
      </c>
      <c r="D3" s="5">
        <v>0.3</v>
      </c>
      <c r="E3" s="5">
        <v>0.27</v>
      </c>
      <c r="F3" s="5">
        <v>0.32</v>
      </c>
      <c r="G3" s="5">
        <v>0.01</v>
      </c>
    </row>
    <row r="4">
      <c r="A4" s="3" t="s">
        <v>7</v>
      </c>
      <c r="B4" s="4">
        <v>2001.0</v>
      </c>
      <c r="C4" s="5">
        <v>470.0</v>
      </c>
      <c r="D4" s="5">
        <v>0.28</v>
      </c>
      <c r="E4" s="5">
        <v>0.25</v>
      </c>
      <c r="F4" s="5">
        <v>0.31</v>
      </c>
      <c r="G4" s="5">
        <v>0.01</v>
      </c>
    </row>
    <row r="5">
      <c r="A5" s="3" t="s">
        <v>7</v>
      </c>
      <c r="B5" s="4">
        <v>2002.0</v>
      </c>
      <c r="C5" s="5">
        <v>530.0</v>
      </c>
      <c r="D5" s="5">
        <v>0.31</v>
      </c>
      <c r="E5" s="5">
        <v>0.28</v>
      </c>
      <c r="F5" s="5">
        <v>0.33</v>
      </c>
      <c r="G5" s="5">
        <v>0.01</v>
      </c>
    </row>
    <row r="6">
      <c r="A6" s="3" t="s">
        <v>7</v>
      </c>
      <c r="B6" s="4">
        <v>2003.0</v>
      </c>
      <c r="C6" s="5">
        <v>547.0</v>
      </c>
      <c r="D6" s="5">
        <v>0.34</v>
      </c>
      <c r="E6" s="5">
        <v>0.31</v>
      </c>
      <c r="F6" s="5">
        <v>0.37</v>
      </c>
      <c r="G6" s="5">
        <v>0.01</v>
      </c>
    </row>
    <row r="7">
      <c r="A7" s="3" t="s">
        <v>7</v>
      </c>
      <c r="B7" s="4">
        <v>2004.0</v>
      </c>
      <c r="C7" s="5">
        <v>475.0</v>
      </c>
      <c r="D7" s="5">
        <v>0.27</v>
      </c>
      <c r="E7" s="5">
        <v>0.24</v>
      </c>
      <c r="F7" s="5">
        <v>0.29</v>
      </c>
      <c r="G7" s="5">
        <v>0.01</v>
      </c>
    </row>
    <row r="8">
      <c r="A8" s="3" t="s">
        <v>7</v>
      </c>
      <c r="B8" s="4">
        <v>2005.0</v>
      </c>
      <c r="C8" s="5">
        <v>518.0</v>
      </c>
      <c r="D8" s="5">
        <v>0.29</v>
      </c>
      <c r="E8" s="5">
        <v>0.26</v>
      </c>
      <c r="F8" s="5">
        <v>0.31</v>
      </c>
      <c r="G8" s="5">
        <v>0.01</v>
      </c>
    </row>
    <row r="9">
      <c r="A9" s="3" t="s">
        <v>7</v>
      </c>
      <c r="B9" s="4">
        <v>2006.0</v>
      </c>
      <c r="C9" s="5">
        <v>527.0</v>
      </c>
      <c r="D9" s="5">
        <v>0.29</v>
      </c>
      <c r="E9" s="5">
        <v>0.27</v>
      </c>
      <c r="F9" s="5">
        <v>0.32</v>
      </c>
      <c r="G9" s="5">
        <v>0.01</v>
      </c>
    </row>
    <row r="10">
      <c r="A10" s="3" t="s">
        <v>7</v>
      </c>
      <c r="B10" s="4">
        <v>2007.0</v>
      </c>
      <c r="C10" s="5">
        <v>496.0</v>
      </c>
      <c r="D10" s="5">
        <v>0.28</v>
      </c>
      <c r="E10" s="5">
        <v>0.26</v>
      </c>
      <c r="F10" s="5">
        <v>0.31</v>
      </c>
      <c r="G10" s="5">
        <v>0.01</v>
      </c>
    </row>
    <row r="11">
      <c r="A11" s="3" t="s">
        <v>7</v>
      </c>
      <c r="B11" s="4">
        <v>2008.0</v>
      </c>
      <c r="C11" s="5">
        <v>492.0</v>
      </c>
      <c r="D11" s="5">
        <v>0.27</v>
      </c>
      <c r="E11" s="5">
        <v>0.24</v>
      </c>
      <c r="F11" s="5">
        <v>0.29</v>
      </c>
      <c r="G11" s="5">
        <v>0.01</v>
      </c>
    </row>
    <row r="12">
      <c r="A12" s="3" t="s">
        <v>7</v>
      </c>
      <c r="B12" s="4">
        <v>2009.0</v>
      </c>
      <c r="C12" s="5">
        <v>486.0</v>
      </c>
      <c r="D12" s="5">
        <v>0.26</v>
      </c>
      <c r="E12" s="5">
        <v>0.23</v>
      </c>
      <c r="F12" s="5">
        <v>0.28</v>
      </c>
      <c r="G12" s="5">
        <v>0.01</v>
      </c>
    </row>
    <row r="13">
      <c r="A13" s="3" t="s">
        <v>7</v>
      </c>
      <c r="B13" s="4">
        <v>2010.0</v>
      </c>
      <c r="C13" s="5">
        <v>522.0</v>
      </c>
      <c r="D13" s="5">
        <v>0.28</v>
      </c>
      <c r="E13" s="5">
        <v>0.25</v>
      </c>
      <c r="F13" s="5">
        <v>0.3</v>
      </c>
      <c r="G13" s="5">
        <v>0.01</v>
      </c>
    </row>
    <row r="14">
      <c r="A14" s="3" t="s">
        <v>7</v>
      </c>
      <c r="B14" s="4">
        <v>2011.0</v>
      </c>
      <c r="C14" s="5">
        <v>548.0</v>
      </c>
      <c r="D14" s="5">
        <v>0.28</v>
      </c>
      <c r="E14" s="5">
        <v>0.26</v>
      </c>
      <c r="F14" s="5">
        <v>0.31</v>
      </c>
      <c r="G14" s="5">
        <v>0.01</v>
      </c>
    </row>
    <row r="15">
      <c r="A15" s="3" t="s">
        <v>7</v>
      </c>
      <c r="B15" s="4">
        <v>2012.0</v>
      </c>
      <c r="C15" s="5">
        <v>516.0</v>
      </c>
      <c r="D15" s="5">
        <v>0.27</v>
      </c>
      <c r="E15" s="5">
        <v>0.25</v>
      </c>
      <c r="F15" s="5">
        <v>0.29</v>
      </c>
      <c r="G15" s="5">
        <v>0.01</v>
      </c>
    </row>
    <row r="16">
      <c r="A16" s="3" t="s">
        <v>7</v>
      </c>
      <c r="B16" s="4">
        <v>2013.0</v>
      </c>
      <c r="C16" s="5">
        <v>570.0</v>
      </c>
      <c r="D16" s="5">
        <v>0.28</v>
      </c>
      <c r="E16" s="5">
        <v>0.26</v>
      </c>
      <c r="F16" s="5">
        <v>0.31</v>
      </c>
      <c r="G16" s="5">
        <v>0.01</v>
      </c>
    </row>
    <row r="17">
      <c r="A17" s="3" t="s">
        <v>7</v>
      </c>
      <c r="B17" s="4">
        <v>2014.0</v>
      </c>
      <c r="C17" s="5">
        <v>626.0</v>
      </c>
      <c r="D17" s="5">
        <v>0.31</v>
      </c>
      <c r="E17" s="5">
        <v>0.29</v>
      </c>
      <c r="F17" s="5">
        <v>0.34</v>
      </c>
      <c r="G17" s="5">
        <v>0.01</v>
      </c>
    </row>
    <row r="18">
      <c r="A18" s="3" t="s">
        <v>7</v>
      </c>
      <c r="B18" s="4">
        <v>2015.0</v>
      </c>
      <c r="C18" s="5">
        <v>560.0</v>
      </c>
      <c r="D18" s="5">
        <v>0.27</v>
      </c>
      <c r="E18" s="5">
        <v>0.25</v>
      </c>
      <c r="F18" s="5">
        <v>0.3</v>
      </c>
      <c r="G18" s="5">
        <v>0.01</v>
      </c>
    </row>
    <row r="19">
      <c r="A19" s="3" t="s">
        <v>7</v>
      </c>
      <c r="B19" s="4">
        <v>2016.0</v>
      </c>
      <c r="C19" s="5">
        <v>641.0</v>
      </c>
      <c r="D19" s="5">
        <v>0.3</v>
      </c>
      <c r="E19" s="5">
        <v>0.28</v>
      </c>
      <c r="F19" s="5">
        <v>0.32</v>
      </c>
      <c r="G19" s="5">
        <v>0.01</v>
      </c>
    </row>
    <row r="20">
      <c r="A20" s="3" t="s">
        <v>7</v>
      </c>
      <c r="B20" s="4">
        <v>2017.0</v>
      </c>
      <c r="C20" s="5">
        <v>674.0</v>
      </c>
      <c r="D20" s="5">
        <v>0.3</v>
      </c>
      <c r="E20" s="5">
        <v>0.28</v>
      </c>
      <c r="F20" s="5">
        <v>0.33</v>
      </c>
      <c r="G20" s="5">
        <v>0.01</v>
      </c>
    </row>
    <row r="21">
      <c r="A21" s="3" t="s">
        <v>7</v>
      </c>
      <c r="B21" s="4">
        <v>2018.0</v>
      </c>
      <c r="C21" s="5">
        <v>660.0</v>
      </c>
      <c r="D21" s="5">
        <v>0.3</v>
      </c>
      <c r="E21" s="5">
        <v>0.28</v>
      </c>
      <c r="F21" s="5">
        <v>0.33</v>
      </c>
      <c r="G21" s="5">
        <v>0.01</v>
      </c>
      <c r="I21" s="6" t="s">
        <v>8</v>
      </c>
    </row>
    <row r="22">
      <c r="A22" s="3" t="s">
        <v>7</v>
      </c>
      <c r="B22" s="4">
        <v>2019.0</v>
      </c>
      <c r="C22" s="5">
        <v>702.0</v>
      </c>
      <c r="D22" s="5">
        <v>0.31</v>
      </c>
      <c r="E22" s="5">
        <v>0.28</v>
      </c>
      <c r="F22" s="5">
        <v>0.33</v>
      </c>
      <c r="G22" s="5">
        <v>0.01</v>
      </c>
      <c r="I22" s="7" t="s">
        <v>9</v>
      </c>
      <c r="J22" s="7" t="s">
        <v>10</v>
      </c>
      <c r="K22" s="7" t="s">
        <v>11</v>
      </c>
      <c r="L22" s="7" t="s">
        <v>12</v>
      </c>
      <c r="M22" s="7" t="s">
        <v>13</v>
      </c>
      <c r="N22" s="8"/>
      <c r="O22" s="8"/>
      <c r="P22" s="8"/>
      <c r="Q22" s="8"/>
    </row>
    <row r="23">
      <c r="A23" s="3" t="s">
        <v>7</v>
      </c>
      <c r="B23" s="4">
        <v>2020.0</v>
      </c>
      <c r="C23" s="5">
        <v>907.0</v>
      </c>
      <c r="D23" s="5">
        <v>0.39</v>
      </c>
      <c r="E23" s="5">
        <v>0.36</v>
      </c>
      <c r="F23" s="5">
        <v>0.41</v>
      </c>
      <c r="G23" s="5">
        <v>0.01</v>
      </c>
      <c r="I23" s="9" t="s">
        <v>14</v>
      </c>
      <c r="J23" s="9">
        <v>1.0</v>
      </c>
      <c r="K23" s="9">
        <v>2018.0</v>
      </c>
      <c r="L23" s="9">
        <v>2016.0</v>
      </c>
      <c r="M23" s="9">
        <v>2019.0</v>
      </c>
    </row>
    <row r="24">
      <c r="A24" s="3" t="s">
        <v>7</v>
      </c>
      <c r="B24" s="4">
        <v>2021.0</v>
      </c>
      <c r="C24" s="5">
        <v>1024.0</v>
      </c>
      <c r="D24" s="5">
        <v>0.48</v>
      </c>
      <c r="E24" s="5">
        <v>0.45</v>
      </c>
      <c r="F24" s="5">
        <v>0.51</v>
      </c>
      <c r="G24" s="5">
        <v>0.01</v>
      </c>
      <c r="I24" s="9" t="s">
        <v>14</v>
      </c>
      <c r="J24" s="9">
        <v>2.0</v>
      </c>
      <c r="K24" s="9">
        <v>2021.0</v>
      </c>
      <c r="L24" s="9">
        <v>2020.0</v>
      </c>
      <c r="M24" s="9">
        <v>2022.0</v>
      </c>
    </row>
    <row r="25">
      <c r="A25" s="3" t="s">
        <v>7</v>
      </c>
      <c r="B25" s="4">
        <v>2022.0</v>
      </c>
      <c r="C25" s="5">
        <v>1036.0</v>
      </c>
      <c r="D25" s="5">
        <v>0.45</v>
      </c>
      <c r="E25" s="5">
        <v>0.42</v>
      </c>
      <c r="F25" s="5">
        <v>0.48</v>
      </c>
      <c r="G25" s="5">
        <v>0.01</v>
      </c>
      <c r="I25" s="9" t="s">
        <v>15</v>
      </c>
      <c r="J25" s="9">
        <v>1.0</v>
      </c>
      <c r="K25" s="9">
        <v>2015.0</v>
      </c>
      <c r="L25" s="9">
        <v>2013.0</v>
      </c>
      <c r="M25" s="9">
        <v>2018.0</v>
      </c>
    </row>
    <row r="26">
      <c r="A26" s="3" t="s">
        <v>7</v>
      </c>
      <c r="B26" s="4">
        <v>2023.0</v>
      </c>
      <c r="C26" s="5">
        <v>936.0</v>
      </c>
      <c r="D26" s="5">
        <v>0.4</v>
      </c>
      <c r="E26" s="5">
        <v>0.37</v>
      </c>
      <c r="F26" s="5">
        <v>0.43</v>
      </c>
      <c r="G26" s="5">
        <v>0.01</v>
      </c>
      <c r="I26" s="9" t="s">
        <v>16</v>
      </c>
      <c r="J26" s="9">
        <v>1.0</v>
      </c>
      <c r="K26" s="9">
        <v>2012.0</v>
      </c>
      <c r="L26" s="9">
        <v>2003.0</v>
      </c>
      <c r="M26" s="9">
        <v>2018.0</v>
      </c>
    </row>
    <row r="27">
      <c r="A27" s="3" t="s">
        <v>7</v>
      </c>
      <c r="B27" s="4">
        <v>2024.0</v>
      </c>
      <c r="C27" s="5">
        <v>960.0</v>
      </c>
      <c r="D27" s="5">
        <v>0.41</v>
      </c>
      <c r="E27" s="5">
        <v>0.39</v>
      </c>
      <c r="F27" s="5">
        <v>0.44</v>
      </c>
      <c r="G27" s="5">
        <v>0.01</v>
      </c>
      <c r="I27" s="6" t="s">
        <v>17</v>
      </c>
    </row>
    <row r="28">
      <c r="A28" s="10" t="s">
        <v>18</v>
      </c>
      <c r="B28" s="11"/>
      <c r="C28" s="12">
        <f>SUM(C2:C27)</f>
        <v>16389</v>
      </c>
      <c r="I28" s="7" t="s">
        <v>9</v>
      </c>
      <c r="J28" s="7" t="s">
        <v>19</v>
      </c>
      <c r="K28" s="7" t="s">
        <v>20</v>
      </c>
      <c r="L28" s="7" t="s">
        <v>21</v>
      </c>
      <c r="M28" s="7" t="s">
        <v>22</v>
      </c>
      <c r="N28" s="7" t="s">
        <v>12</v>
      </c>
      <c r="O28" s="7" t="s">
        <v>13</v>
      </c>
      <c r="P28" s="7" t="s">
        <v>23</v>
      </c>
      <c r="Q28" s="7" t="s">
        <v>24</v>
      </c>
    </row>
    <row r="29">
      <c r="A29" s="13" t="s">
        <v>25</v>
      </c>
      <c r="B29" s="4">
        <v>1999.0</v>
      </c>
      <c r="C29" s="5">
        <v>59.0</v>
      </c>
      <c r="D29" s="5">
        <v>0.37</v>
      </c>
      <c r="E29" s="5">
        <v>0.28</v>
      </c>
      <c r="F29" s="5">
        <v>0.48</v>
      </c>
      <c r="G29" s="5">
        <v>0.05</v>
      </c>
      <c r="I29" s="9" t="s">
        <v>14</v>
      </c>
      <c r="J29" s="9">
        <v>1.0</v>
      </c>
      <c r="K29" s="9">
        <v>1999.0</v>
      </c>
      <c r="L29" s="9">
        <v>2018.0</v>
      </c>
      <c r="M29" s="9">
        <v>-0.2388</v>
      </c>
      <c r="N29" s="9">
        <v>-0.8323</v>
      </c>
      <c r="O29" s="9">
        <v>0.3583</v>
      </c>
      <c r="P29" s="9">
        <v>0.410978</v>
      </c>
      <c r="Q29" s="9">
        <v>-0.8417</v>
      </c>
    </row>
    <row r="30">
      <c r="A30" s="13" t="s">
        <v>25</v>
      </c>
      <c r="B30" s="4">
        <v>2000.0</v>
      </c>
      <c r="C30" s="5">
        <v>64.0</v>
      </c>
      <c r="D30" s="5">
        <v>0.39</v>
      </c>
      <c r="E30" s="5">
        <v>0.3</v>
      </c>
      <c r="F30" s="5">
        <v>0.5</v>
      </c>
      <c r="G30" s="5">
        <v>0.05</v>
      </c>
      <c r="I30" s="9" t="s">
        <v>14</v>
      </c>
      <c r="J30" s="9">
        <v>2.0</v>
      </c>
      <c r="K30" s="9">
        <v>2018.0</v>
      </c>
      <c r="L30" s="9">
        <v>2021.0</v>
      </c>
      <c r="M30" s="9">
        <v>18.4079</v>
      </c>
      <c r="N30" s="9">
        <v>-0.3794</v>
      </c>
      <c r="O30" s="9">
        <v>40.7383</v>
      </c>
      <c r="P30" s="9">
        <v>0.054719</v>
      </c>
      <c r="Q30" s="9">
        <v>2.0547</v>
      </c>
    </row>
    <row r="31">
      <c r="A31" s="13" t="s">
        <v>25</v>
      </c>
      <c r="B31" s="4">
        <v>2001.0</v>
      </c>
      <c r="C31" s="5">
        <v>69.0</v>
      </c>
      <c r="D31" s="5">
        <v>0.43</v>
      </c>
      <c r="E31" s="5">
        <v>0.33</v>
      </c>
      <c r="F31" s="5">
        <v>0.54</v>
      </c>
      <c r="G31" s="5">
        <v>0.05</v>
      </c>
      <c r="I31" s="9" t="s">
        <v>14</v>
      </c>
      <c r="J31" s="9">
        <v>3.0</v>
      </c>
      <c r="K31" s="9">
        <v>2021.0</v>
      </c>
      <c r="L31" s="9">
        <v>2024.0</v>
      </c>
      <c r="M31" s="9">
        <v>-5.2811</v>
      </c>
      <c r="N31" s="9">
        <v>-11.6033</v>
      </c>
      <c r="O31" s="9">
        <v>1.4932</v>
      </c>
      <c r="P31" s="9">
        <v>0.116255</v>
      </c>
      <c r="Q31" s="9">
        <v>-1.6501</v>
      </c>
    </row>
    <row r="32">
      <c r="A32" s="13" t="s">
        <v>25</v>
      </c>
      <c r="B32" s="4">
        <v>2002.0</v>
      </c>
      <c r="C32" s="5">
        <v>57.0</v>
      </c>
      <c r="D32" s="5">
        <v>0.36</v>
      </c>
      <c r="E32" s="5">
        <v>0.27</v>
      </c>
      <c r="F32" s="5">
        <v>0.47</v>
      </c>
      <c r="G32" s="5">
        <v>0.05</v>
      </c>
      <c r="I32" s="9" t="s">
        <v>15</v>
      </c>
      <c r="J32" s="9">
        <v>1.0</v>
      </c>
      <c r="K32" s="9">
        <v>1999.0</v>
      </c>
      <c r="L32" s="9">
        <v>2015.0</v>
      </c>
      <c r="M32" s="9">
        <v>-1.2012</v>
      </c>
      <c r="N32" s="9">
        <v>-2.6113</v>
      </c>
      <c r="O32" s="9">
        <v>0.2293</v>
      </c>
      <c r="P32" s="9">
        <v>0.095022</v>
      </c>
      <c r="Q32" s="9">
        <v>-1.7483</v>
      </c>
    </row>
    <row r="33">
      <c r="A33" s="13" t="s">
        <v>25</v>
      </c>
      <c r="B33" s="4">
        <v>2003.0</v>
      </c>
      <c r="C33" s="5">
        <v>67.0</v>
      </c>
      <c r="D33" s="5">
        <v>0.37</v>
      </c>
      <c r="E33" s="5">
        <v>0.28</v>
      </c>
      <c r="F33" s="5">
        <v>0.47</v>
      </c>
      <c r="G33" s="5">
        <v>0.05</v>
      </c>
      <c r="I33" s="9" t="s">
        <v>15</v>
      </c>
      <c r="J33" s="9">
        <v>2.0</v>
      </c>
      <c r="K33" s="9">
        <v>2015.0</v>
      </c>
      <c r="L33" s="9">
        <v>2024.0</v>
      </c>
      <c r="M33" s="9" t="s">
        <v>26</v>
      </c>
      <c r="N33" s="9">
        <v>3.5522</v>
      </c>
      <c r="O33" s="9">
        <v>8.8822</v>
      </c>
      <c r="P33" s="9">
        <v>6.4E-5</v>
      </c>
      <c r="Q33" s="9">
        <v>4.9721</v>
      </c>
    </row>
    <row r="34">
      <c r="A34" s="13" t="s">
        <v>25</v>
      </c>
      <c r="B34" s="4">
        <v>2004.0</v>
      </c>
      <c r="C34" s="5">
        <v>68.0</v>
      </c>
      <c r="D34" s="5">
        <v>0.39</v>
      </c>
      <c r="E34" s="5">
        <v>0.3</v>
      </c>
      <c r="F34" s="5">
        <v>0.5</v>
      </c>
      <c r="G34" s="5">
        <v>0.05</v>
      </c>
      <c r="I34" s="9" t="s">
        <v>16</v>
      </c>
      <c r="J34" s="9">
        <v>1.0</v>
      </c>
      <c r="K34" s="9">
        <v>1999.0</v>
      </c>
      <c r="L34" s="9">
        <v>2012.0</v>
      </c>
      <c r="M34" s="9" t="s">
        <v>27</v>
      </c>
      <c r="N34" s="9">
        <v>-8.4319</v>
      </c>
      <c r="O34" s="9">
        <v>-0.0475</v>
      </c>
      <c r="P34" s="9">
        <v>0.0478</v>
      </c>
      <c r="Q34" s="9">
        <v>-2.1157</v>
      </c>
    </row>
    <row r="35">
      <c r="A35" s="13" t="s">
        <v>25</v>
      </c>
      <c r="B35" s="4">
        <v>2005.0</v>
      </c>
      <c r="C35" s="5">
        <v>66.0</v>
      </c>
      <c r="D35" s="5">
        <v>0.36</v>
      </c>
      <c r="E35" s="5">
        <v>0.28</v>
      </c>
      <c r="F35" s="5">
        <v>0.46</v>
      </c>
      <c r="G35" s="5">
        <v>0.05</v>
      </c>
      <c r="I35" s="9" t="s">
        <v>16</v>
      </c>
      <c r="J35" s="9">
        <v>2.0</v>
      </c>
      <c r="K35" s="9">
        <v>2012.0</v>
      </c>
      <c r="L35" s="9">
        <v>2024.0</v>
      </c>
      <c r="M35" s="9" t="s">
        <v>28</v>
      </c>
      <c r="N35" s="9">
        <v>2.0293</v>
      </c>
      <c r="O35" s="9">
        <v>9.5045</v>
      </c>
      <c r="P35" s="9">
        <v>0.003917</v>
      </c>
      <c r="Q35" s="9">
        <v>3.2825</v>
      </c>
    </row>
    <row r="36">
      <c r="A36" s="13" t="s">
        <v>25</v>
      </c>
      <c r="B36" s="4">
        <v>2006.0</v>
      </c>
      <c r="C36" s="5">
        <v>81.0</v>
      </c>
      <c r="D36" s="5">
        <v>0.45</v>
      </c>
      <c r="E36" s="5">
        <v>0.35</v>
      </c>
      <c r="F36" s="5">
        <v>0.56</v>
      </c>
      <c r="G36" s="5">
        <v>0.05</v>
      </c>
      <c r="I36" s="9" t="s">
        <v>29</v>
      </c>
      <c r="J36" s="9">
        <v>1.0</v>
      </c>
      <c r="K36" s="9">
        <v>2019.0</v>
      </c>
      <c r="L36" s="9">
        <v>2024.0</v>
      </c>
      <c r="M36" s="9">
        <v>-5.779</v>
      </c>
      <c r="N36" s="9">
        <v>-18.6517</v>
      </c>
      <c r="O36" s="9">
        <v>9.1307</v>
      </c>
      <c r="P36" s="9">
        <v>0.323506</v>
      </c>
      <c r="Q36" s="9">
        <v>-1.1251</v>
      </c>
    </row>
    <row r="37">
      <c r="A37" s="13" t="s">
        <v>25</v>
      </c>
      <c r="B37" s="4">
        <v>2007.0</v>
      </c>
      <c r="C37" s="5">
        <v>64.0</v>
      </c>
      <c r="D37" s="5">
        <v>0.35</v>
      </c>
      <c r="E37" s="5">
        <v>0.27</v>
      </c>
      <c r="F37" s="5">
        <v>0.45</v>
      </c>
      <c r="G37" s="5">
        <v>0.05</v>
      </c>
      <c r="I37" s="14" t="s">
        <v>30</v>
      </c>
    </row>
    <row r="38">
      <c r="A38" s="13" t="s">
        <v>25</v>
      </c>
      <c r="B38" s="4">
        <v>2008.0</v>
      </c>
      <c r="C38" s="5">
        <v>61.0</v>
      </c>
      <c r="D38" s="5">
        <v>0.31</v>
      </c>
      <c r="E38" s="5">
        <v>0.23</v>
      </c>
      <c r="F38" s="5">
        <v>0.4</v>
      </c>
      <c r="G38" s="5">
        <v>0.04</v>
      </c>
      <c r="I38" s="7" t="s">
        <v>9</v>
      </c>
      <c r="J38" s="7" t="s">
        <v>31</v>
      </c>
      <c r="K38" s="7" t="s">
        <v>20</v>
      </c>
      <c r="L38" s="7" t="s">
        <v>21</v>
      </c>
      <c r="M38" s="7" t="s">
        <v>32</v>
      </c>
      <c r="N38" s="7" t="s">
        <v>12</v>
      </c>
      <c r="O38" s="7" t="s">
        <v>13</v>
      </c>
      <c r="P38" s="7" t="s">
        <v>33</v>
      </c>
      <c r="Q38" s="7" t="s">
        <v>34</v>
      </c>
    </row>
    <row r="39">
      <c r="A39" s="13" t="s">
        <v>25</v>
      </c>
      <c r="B39" s="4">
        <v>2009.0</v>
      </c>
      <c r="C39" s="5">
        <v>79.0</v>
      </c>
      <c r="D39" s="5">
        <v>0.39</v>
      </c>
      <c r="E39" s="5">
        <v>0.3</v>
      </c>
      <c r="F39" s="5">
        <v>0.49</v>
      </c>
      <c r="G39" s="5">
        <v>0.05</v>
      </c>
      <c r="I39" s="9" t="s">
        <v>14</v>
      </c>
      <c r="J39" s="9" t="s">
        <v>35</v>
      </c>
      <c r="K39" s="9">
        <v>1999.0</v>
      </c>
      <c r="L39" s="9">
        <v>2024.0</v>
      </c>
      <c r="M39" s="9">
        <v>1.202</v>
      </c>
      <c r="N39" s="9">
        <v>-0.9264</v>
      </c>
      <c r="O39" s="9">
        <v>3.3761</v>
      </c>
      <c r="P39" s="9">
        <v>0.270568</v>
      </c>
      <c r="Q39" s="9">
        <v>1.1018</v>
      </c>
    </row>
    <row r="40">
      <c r="A40" s="13" t="s">
        <v>25</v>
      </c>
      <c r="B40" s="4">
        <v>2010.0</v>
      </c>
      <c r="C40" s="5">
        <v>83.0</v>
      </c>
      <c r="D40" s="5">
        <v>0.39</v>
      </c>
      <c r="E40" s="5">
        <v>0.31</v>
      </c>
      <c r="F40" s="5">
        <v>0.49</v>
      </c>
      <c r="G40" s="5">
        <v>0.05</v>
      </c>
      <c r="I40" s="9" t="s">
        <v>15</v>
      </c>
      <c r="J40" s="9" t="s">
        <v>35</v>
      </c>
      <c r="K40" s="9">
        <v>1999.0</v>
      </c>
      <c r="L40" s="9">
        <v>2024.0</v>
      </c>
      <c r="M40" s="9" t="s">
        <v>36</v>
      </c>
      <c r="N40" s="9">
        <v>0.1715</v>
      </c>
      <c r="O40" s="9">
        <v>2.636</v>
      </c>
      <c r="P40" s="9">
        <v>0.025331</v>
      </c>
      <c r="Q40" s="9">
        <v>2.2363</v>
      </c>
    </row>
    <row r="41">
      <c r="A41" s="13" t="s">
        <v>25</v>
      </c>
      <c r="B41" s="4">
        <v>2011.0</v>
      </c>
      <c r="C41" s="5">
        <v>83.0</v>
      </c>
      <c r="D41" s="5">
        <v>0.4</v>
      </c>
      <c r="E41" s="5">
        <v>0.32</v>
      </c>
      <c r="F41" s="5">
        <v>0.5</v>
      </c>
      <c r="G41" s="5">
        <v>0.05</v>
      </c>
      <c r="I41" s="9" t="s">
        <v>16</v>
      </c>
      <c r="J41" s="9" t="s">
        <v>35</v>
      </c>
      <c r="K41" s="9">
        <v>1999.0</v>
      </c>
      <c r="L41" s="9">
        <v>2024.0</v>
      </c>
      <c r="M41" s="9">
        <v>0.3593</v>
      </c>
      <c r="N41" s="9">
        <v>-2.275</v>
      </c>
      <c r="O41" s="9">
        <v>3.0646</v>
      </c>
      <c r="P41" s="9">
        <v>0.791584</v>
      </c>
      <c r="Q41" s="9">
        <v>0.2643</v>
      </c>
    </row>
    <row r="42">
      <c r="A42" s="13" t="s">
        <v>25</v>
      </c>
      <c r="B42" s="4">
        <v>2012.0</v>
      </c>
      <c r="C42" s="5">
        <v>76.0</v>
      </c>
      <c r="D42" s="5">
        <v>0.33</v>
      </c>
      <c r="E42" s="5">
        <v>0.26</v>
      </c>
      <c r="F42" s="5">
        <v>0.42</v>
      </c>
      <c r="G42" s="5">
        <v>0.04</v>
      </c>
      <c r="I42" s="9" t="s">
        <v>29</v>
      </c>
      <c r="J42" s="9" t="s">
        <v>35</v>
      </c>
      <c r="K42" s="9">
        <v>2019.0</v>
      </c>
      <c r="L42" s="9">
        <v>2024.0</v>
      </c>
      <c r="M42" s="9">
        <v>-5.779</v>
      </c>
      <c r="N42" s="9">
        <v>-18.6517</v>
      </c>
      <c r="O42" s="9">
        <v>9.1307</v>
      </c>
      <c r="P42" s="9">
        <v>0.323506</v>
      </c>
      <c r="Q42" s="9">
        <v>-1.1251</v>
      </c>
    </row>
    <row r="43">
      <c r="A43" s="13" t="s">
        <v>25</v>
      </c>
      <c r="B43" s="4">
        <v>2013.0</v>
      </c>
      <c r="C43" s="5">
        <v>92.0</v>
      </c>
      <c r="D43" s="5">
        <v>0.42</v>
      </c>
      <c r="E43" s="5">
        <v>0.33</v>
      </c>
      <c r="F43" s="5">
        <v>0.52</v>
      </c>
      <c r="G43" s="5">
        <v>0.05</v>
      </c>
    </row>
    <row r="44">
      <c r="A44" s="13" t="s">
        <v>25</v>
      </c>
      <c r="B44" s="4">
        <v>2014.0</v>
      </c>
      <c r="C44" s="5">
        <v>64.0</v>
      </c>
      <c r="D44" s="5">
        <v>0.26</v>
      </c>
      <c r="E44" s="5">
        <v>0.2</v>
      </c>
      <c r="F44" s="5">
        <v>0.34</v>
      </c>
      <c r="G44" s="5">
        <v>0.03</v>
      </c>
    </row>
    <row r="45">
      <c r="A45" s="13" t="s">
        <v>25</v>
      </c>
      <c r="B45" s="4">
        <v>2015.0</v>
      </c>
      <c r="C45" s="5">
        <v>72.0</v>
      </c>
      <c r="D45" s="5">
        <v>0.29</v>
      </c>
      <c r="E45" s="5">
        <v>0.22</v>
      </c>
      <c r="F45" s="5">
        <v>0.37</v>
      </c>
      <c r="G45" s="5">
        <v>0.04</v>
      </c>
    </row>
    <row r="46">
      <c r="A46" s="13" t="s">
        <v>25</v>
      </c>
      <c r="B46" s="4">
        <v>2016.0</v>
      </c>
      <c r="C46" s="5">
        <v>91.0</v>
      </c>
      <c r="D46" s="5">
        <v>0.35</v>
      </c>
      <c r="E46" s="5">
        <v>0.28</v>
      </c>
      <c r="F46" s="5">
        <v>0.44</v>
      </c>
      <c r="G46" s="5">
        <v>0.04</v>
      </c>
    </row>
    <row r="47">
      <c r="A47" s="13" t="s">
        <v>25</v>
      </c>
      <c r="B47" s="4">
        <v>2017.0</v>
      </c>
      <c r="C47" s="5">
        <v>95.0</v>
      </c>
      <c r="D47" s="5">
        <v>0.37</v>
      </c>
      <c r="E47" s="5">
        <v>0.3</v>
      </c>
      <c r="F47" s="5">
        <v>0.46</v>
      </c>
      <c r="G47" s="5">
        <v>0.04</v>
      </c>
    </row>
    <row r="48">
      <c r="A48" s="13" t="s">
        <v>25</v>
      </c>
      <c r="B48" s="4">
        <v>2018.0</v>
      </c>
      <c r="C48" s="5">
        <v>104.0</v>
      </c>
      <c r="D48" s="5">
        <v>0.41</v>
      </c>
      <c r="E48" s="5">
        <v>0.33</v>
      </c>
      <c r="F48" s="5">
        <v>0.49</v>
      </c>
      <c r="G48" s="5">
        <v>0.04</v>
      </c>
    </row>
    <row r="49">
      <c r="A49" s="13" t="s">
        <v>25</v>
      </c>
      <c r="B49" s="4">
        <v>2019.0</v>
      </c>
      <c r="C49" s="5">
        <v>104.0</v>
      </c>
      <c r="D49" s="5">
        <v>0.38</v>
      </c>
      <c r="E49" s="5">
        <v>0.31</v>
      </c>
      <c r="F49" s="5">
        <v>0.46</v>
      </c>
      <c r="G49" s="5">
        <v>0.04</v>
      </c>
    </row>
    <row r="50">
      <c r="A50" s="13" t="s">
        <v>25</v>
      </c>
      <c r="B50" s="4">
        <v>2020.0</v>
      </c>
      <c r="C50" s="5">
        <v>146.0</v>
      </c>
      <c r="D50" s="5">
        <v>0.52</v>
      </c>
      <c r="E50" s="5">
        <v>0.43</v>
      </c>
      <c r="F50" s="5">
        <v>0.6</v>
      </c>
      <c r="G50" s="5">
        <v>0.04</v>
      </c>
    </row>
    <row r="51">
      <c r="A51" s="13" t="s">
        <v>25</v>
      </c>
      <c r="B51" s="4">
        <v>2021.0</v>
      </c>
      <c r="C51" s="5">
        <v>142.0</v>
      </c>
      <c r="D51" s="5">
        <v>0.5</v>
      </c>
      <c r="E51" s="5">
        <v>0.41</v>
      </c>
      <c r="F51" s="5">
        <v>0.59</v>
      </c>
      <c r="G51" s="5">
        <v>0.04</v>
      </c>
    </row>
    <row r="52">
      <c r="A52" s="13" t="s">
        <v>25</v>
      </c>
      <c r="B52" s="4">
        <v>2022.0</v>
      </c>
      <c r="C52" s="5">
        <v>155.0</v>
      </c>
      <c r="D52" s="5">
        <v>0.52</v>
      </c>
      <c r="E52" s="5">
        <v>0.43</v>
      </c>
      <c r="F52" s="5">
        <v>0.61</v>
      </c>
      <c r="G52" s="5">
        <v>0.04</v>
      </c>
    </row>
    <row r="53">
      <c r="A53" s="13" t="s">
        <v>25</v>
      </c>
      <c r="B53" s="4">
        <v>2023.0</v>
      </c>
      <c r="C53" s="5">
        <v>157.0</v>
      </c>
      <c r="D53" s="5">
        <v>0.53</v>
      </c>
      <c r="E53" s="5">
        <v>0.45</v>
      </c>
      <c r="F53" s="5">
        <v>0.62</v>
      </c>
      <c r="G53" s="5">
        <v>0.04</v>
      </c>
    </row>
    <row r="54">
      <c r="A54" s="13" t="s">
        <v>25</v>
      </c>
      <c r="B54" s="4">
        <v>2024.0</v>
      </c>
      <c r="C54" s="5">
        <v>164.0</v>
      </c>
      <c r="D54" s="5">
        <v>0.54</v>
      </c>
      <c r="E54" s="5">
        <v>0.45</v>
      </c>
      <c r="F54" s="5">
        <v>0.63</v>
      </c>
      <c r="G54" s="5">
        <v>0.04</v>
      </c>
    </row>
    <row r="55">
      <c r="A55" s="10" t="s">
        <v>18</v>
      </c>
      <c r="B55" s="11"/>
      <c r="C55" s="12">
        <f>SUM(C29:C54)</f>
        <v>2363</v>
      </c>
    </row>
    <row r="56">
      <c r="A56" s="15" t="s">
        <v>37</v>
      </c>
      <c r="B56" s="4">
        <v>1999.0</v>
      </c>
      <c r="C56" s="5">
        <v>28.0</v>
      </c>
      <c r="D56" s="5">
        <v>0.27</v>
      </c>
      <c r="E56" s="5">
        <v>0.17</v>
      </c>
      <c r="F56" s="5">
        <v>0.41</v>
      </c>
      <c r="G56" s="5">
        <v>0.06</v>
      </c>
    </row>
    <row r="57">
      <c r="A57" s="15" t="s">
        <v>37</v>
      </c>
      <c r="B57" s="4">
        <v>2000.0</v>
      </c>
      <c r="C57" s="5">
        <v>24.0</v>
      </c>
      <c r="D57" s="5">
        <v>0.23</v>
      </c>
      <c r="E57" s="5">
        <v>0.15</v>
      </c>
      <c r="F57" s="5">
        <v>0.36</v>
      </c>
      <c r="G57" s="5">
        <v>0.05</v>
      </c>
    </row>
    <row r="58">
      <c r="A58" s="15" t="s">
        <v>37</v>
      </c>
      <c r="B58" s="4">
        <v>2001.0</v>
      </c>
      <c r="C58" s="5">
        <v>14.0</v>
      </c>
      <c r="D58" s="16" t="s">
        <v>38</v>
      </c>
      <c r="E58" s="5">
        <v>0.07</v>
      </c>
      <c r="F58" s="5">
        <v>0.21</v>
      </c>
      <c r="G58" s="5">
        <v>0.04</v>
      </c>
    </row>
    <row r="59">
      <c r="A59" s="15" t="s">
        <v>37</v>
      </c>
      <c r="B59" s="4">
        <v>2002.0</v>
      </c>
      <c r="C59" s="5">
        <v>35.0</v>
      </c>
      <c r="D59" s="5">
        <v>0.32</v>
      </c>
      <c r="E59" s="5">
        <v>0.21</v>
      </c>
      <c r="F59" s="5">
        <v>0.45</v>
      </c>
      <c r="G59" s="5">
        <v>0.06</v>
      </c>
    </row>
    <row r="60">
      <c r="A60" s="15" t="s">
        <v>37</v>
      </c>
      <c r="B60" s="4">
        <v>2003.0</v>
      </c>
      <c r="C60" s="5">
        <v>20.0</v>
      </c>
      <c r="D60" s="5">
        <v>0.15</v>
      </c>
      <c r="E60" s="5">
        <v>0.09</v>
      </c>
      <c r="F60" s="5">
        <v>0.24</v>
      </c>
      <c r="G60" s="5">
        <v>0.04</v>
      </c>
    </row>
    <row r="61">
      <c r="A61" s="15" t="s">
        <v>37</v>
      </c>
      <c r="B61" s="4">
        <v>2004.0</v>
      </c>
      <c r="C61" s="5">
        <v>24.0</v>
      </c>
      <c r="D61" s="5">
        <v>0.15</v>
      </c>
      <c r="E61" s="5">
        <v>0.09</v>
      </c>
      <c r="F61" s="5">
        <v>0.24</v>
      </c>
      <c r="G61" s="5">
        <v>0.04</v>
      </c>
    </row>
    <row r="62">
      <c r="A62" s="15" t="s">
        <v>37</v>
      </c>
      <c r="B62" s="4">
        <v>2005.0</v>
      </c>
      <c r="C62" s="5">
        <v>24.0</v>
      </c>
      <c r="D62" s="5">
        <v>0.17</v>
      </c>
      <c r="E62" s="5">
        <v>0.1</v>
      </c>
      <c r="F62" s="5">
        <v>0.26</v>
      </c>
      <c r="G62" s="5">
        <v>0.04</v>
      </c>
    </row>
    <row r="63">
      <c r="A63" s="15" t="s">
        <v>37</v>
      </c>
      <c r="B63" s="4">
        <v>2006.0</v>
      </c>
      <c r="C63" s="5">
        <v>13.0</v>
      </c>
      <c r="D63" s="16" t="s">
        <v>38</v>
      </c>
      <c r="E63" s="5">
        <v>0.04</v>
      </c>
      <c r="F63" s="5">
        <v>0.17</v>
      </c>
      <c r="G63" s="5">
        <v>0.03</v>
      </c>
    </row>
    <row r="64">
      <c r="A64" s="15" t="s">
        <v>37</v>
      </c>
      <c r="B64" s="4">
        <v>2007.0</v>
      </c>
      <c r="C64" s="5">
        <v>26.0</v>
      </c>
      <c r="D64" s="5">
        <v>0.16</v>
      </c>
      <c r="E64" s="5">
        <v>0.1</v>
      </c>
      <c r="F64" s="5">
        <v>0.25</v>
      </c>
      <c r="G64" s="5">
        <v>0.04</v>
      </c>
    </row>
    <row r="65">
      <c r="A65" s="15" t="s">
        <v>37</v>
      </c>
      <c r="B65" s="4">
        <v>2008.0</v>
      </c>
      <c r="C65" s="5">
        <v>24.0</v>
      </c>
      <c r="D65" s="5">
        <v>0.11</v>
      </c>
      <c r="E65" s="5">
        <v>0.07</v>
      </c>
      <c r="F65" s="5">
        <v>0.18</v>
      </c>
      <c r="G65" s="5">
        <v>0.03</v>
      </c>
    </row>
    <row r="66">
      <c r="A66" s="15" t="s">
        <v>37</v>
      </c>
      <c r="B66" s="4">
        <v>2009.0</v>
      </c>
      <c r="C66" s="5">
        <v>30.0</v>
      </c>
      <c r="D66" s="5">
        <v>0.18</v>
      </c>
      <c r="E66" s="5">
        <v>0.12</v>
      </c>
      <c r="F66" s="5">
        <v>0.27</v>
      </c>
      <c r="G66" s="5">
        <v>0.04</v>
      </c>
    </row>
    <row r="67">
      <c r="A67" s="15" t="s">
        <v>37</v>
      </c>
      <c r="B67" s="4">
        <v>2010.0</v>
      </c>
      <c r="C67" s="5">
        <v>29.0</v>
      </c>
      <c r="D67" s="5">
        <v>0.19</v>
      </c>
      <c r="E67" s="5">
        <v>0.13</v>
      </c>
      <c r="F67" s="5">
        <v>0.28</v>
      </c>
      <c r="G67" s="5">
        <v>0.04</v>
      </c>
    </row>
    <row r="68">
      <c r="A68" s="15" t="s">
        <v>37</v>
      </c>
      <c r="B68" s="4">
        <v>2011.0</v>
      </c>
      <c r="C68" s="5">
        <v>31.0</v>
      </c>
      <c r="D68" s="5">
        <v>0.17</v>
      </c>
      <c r="E68" s="5">
        <v>0.11</v>
      </c>
      <c r="F68" s="5">
        <v>0.25</v>
      </c>
      <c r="G68" s="5">
        <v>0.03</v>
      </c>
    </row>
    <row r="69">
      <c r="A69" s="15" t="s">
        <v>37</v>
      </c>
      <c r="B69" s="4">
        <v>2012.0</v>
      </c>
      <c r="C69" s="5">
        <v>28.0</v>
      </c>
      <c r="D69" s="5">
        <v>0.14</v>
      </c>
      <c r="E69" s="5">
        <v>0.09</v>
      </c>
      <c r="F69" s="5">
        <v>0.21</v>
      </c>
      <c r="G69" s="5">
        <v>0.03</v>
      </c>
    </row>
    <row r="70">
      <c r="A70" s="15" t="s">
        <v>37</v>
      </c>
      <c r="B70" s="4">
        <v>2013.0</v>
      </c>
      <c r="C70" s="5">
        <v>27.0</v>
      </c>
      <c r="D70" s="5">
        <v>0.12</v>
      </c>
      <c r="E70" s="5">
        <v>0.07</v>
      </c>
      <c r="F70" s="5">
        <v>0.19</v>
      </c>
      <c r="G70" s="5">
        <v>0.03</v>
      </c>
    </row>
    <row r="71">
      <c r="A71" s="15" t="s">
        <v>37</v>
      </c>
      <c r="B71" s="4">
        <v>2014.0</v>
      </c>
      <c r="C71" s="5">
        <v>32.0</v>
      </c>
      <c r="D71" s="5">
        <v>0.16</v>
      </c>
      <c r="E71" s="5">
        <v>0.11</v>
      </c>
      <c r="F71" s="5">
        <v>0.23</v>
      </c>
      <c r="G71" s="5">
        <v>0.03</v>
      </c>
    </row>
    <row r="72">
      <c r="A72" s="15" t="s">
        <v>37</v>
      </c>
      <c r="B72" s="4">
        <v>2015.0</v>
      </c>
      <c r="C72" s="5">
        <v>46.0</v>
      </c>
      <c r="D72" s="5">
        <v>0.19</v>
      </c>
      <c r="E72" s="5">
        <v>0.14</v>
      </c>
      <c r="F72" s="5">
        <v>0.26</v>
      </c>
      <c r="G72" s="5">
        <v>0.03</v>
      </c>
    </row>
    <row r="73">
      <c r="A73" s="15" t="s">
        <v>37</v>
      </c>
      <c r="B73" s="4">
        <v>2016.0</v>
      </c>
      <c r="C73" s="5">
        <v>42.0</v>
      </c>
      <c r="D73" s="5">
        <v>0.18</v>
      </c>
      <c r="E73" s="5">
        <v>0.12</v>
      </c>
      <c r="F73" s="5">
        <v>0.25</v>
      </c>
      <c r="G73" s="5">
        <v>0.03</v>
      </c>
    </row>
    <row r="74">
      <c r="A74" s="15" t="s">
        <v>37</v>
      </c>
      <c r="B74" s="4">
        <v>2017.0</v>
      </c>
      <c r="C74" s="5">
        <v>49.0</v>
      </c>
      <c r="D74" s="5">
        <v>0.18</v>
      </c>
      <c r="E74" s="5">
        <v>0.13</v>
      </c>
      <c r="F74" s="5">
        <v>0.24</v>
      </c>
      <c r="G74" s="5">
        <v>0.03</v>
      </c>
    </row>
    <row r="75">
      <c r="A75" s="15" t="s">
        <v>37</v>
      </c>
      <c r="B75" s="4">
        <v>2018.0</v>
      </c>
      <c r="C75" s="5">
        <v>45.0</v>
      </c>
      <c r="D75" s="5">
        <v>0.18</v>
      </c>
      <c r="E75" s="5">
        <v>0.12</v>
      </c>
      <c r="F75" s="5">
        <v>0.24</v>
      </c>
      <c r="G75" s="5">
        <v>0.03</v>
      </c>
    </row>
    <row r="76">
      <c r="A76" s="15" t="s">
        <v>37</v>
      </c>
      <c r="B76" s="4">
        <v>2019.0</v>
      </c>
      <c r="C76" s="5">
        <v>44.0</v>
      </c>
      <c r="D76" s="5">
        <v>0.15</v>
      </c>
      <c r="E76" s="5">
        <v>0.1</v>
      </c>
      <c r="F76" s="5">
        <v>0.2</v>
      </c>
      <c r="G76" s="5">
        <v>0.02</v>
      </c>
    </row>
    <row r="77">
      <c r="A77" s="15" t="s">
        <v>37</v>
      </c>
      <c r="B77" s="4">
        <v>2020.0</v>
      </c>
      <c r="C77" s="5">
        <v>66.0</v>
      </c>
      <c r="D77" s="5">
        <v>0.23</v>
      </c>
      <c r="E77" s="5">
        <v>0.17</v>
      </c>
      <c r="F77" s="5">
        <v>0.3</v>
      </c>
      <c r="G77" s="5">
        <v>0.03</v>
      </c>
    </row>
    <row r="78">
      <c r="A78" s="15" t="s">
        <v>37</v>
      </c>
      <c r="B78" s="4">
        <v>2021.0</v>
      </c>
      <c r="C78" s="5">
        <v>78.0</v>
      </c>
      <c r="D78" s="17">
        <v>0.29</v>
      </c>
      <c r="E78" s="5">
        <v>0.22</v>
      </c>
      <c r="F78" s="5">
        <v>0.36</v>
      </c>
      <c r="G78" s="5">
        <v>0.03</v>
      </c>
    </row>
    <row r="79">
      <c r="A79" s="15" t="s">
        <v>37</v>
      </c>
      <c r="B79" s="4">
        <v>2022.0</v>
      </c>
      <c r="C79" s="5">
        <v>82.0</v>
      </c>
      <c r="D79" s="17">
        <v>0.3</v>
      </c>
      <c r="E79" s="5">
        <v>0.24</v>
      </c>
      <c r="F79" s="5">
        <v>0.37</v>
      </c>
      <c r="G79" s="5">
        <v>0.03</v>
      </c>
    </row>
    <row r="80">
      <c r="A80" s="15" t="s">
        <v>37</v>
      </c>
      <c r="B80" s="4">
        <v>2023.0</v>
      </c>
      <c r="C80" s="5">
        <v>65.0</v>
      </c>
      <c r="D80" s="17">
        <v>0.22</v>
      </c>
      <c r="E80" s="5">
        <v>0.17</v>
      </c>
      <c r="F80" s="5">
        <v>0.28</v>
      </c>
      <c r="G80" s="5">
        <v>0.03</v>
      </c>
    </row>
    <row r="81">
      <c r="A81" s="15" t="s">
        <v>37</v>
      </c>
      <c r="B81" s="4">
        <v>2024.0</v>
      </c>
      <c r="C81" s="5">
        <v>75.0</v>
      </c>
      <c r="D81" s="17">
        <v>0.23</v>
      </c>
      <c r="E81" s="5">
        <v>0.17</v>
      </c>
      <c r="F81" s="5">
        <v>0.29</v>
      </c>
      <c r="G81" s="5">
        <v>0.03</v>
      </c>
    </row>
    <row r="82">
      <c r="A82" s="9" t="s">
        <v>39</v>
      </c>
      <c r="C82" s="12">
        <f>SUM(C56:C81)</f>
        <v>1001</v>
      </c>
    </row>
    <row r="83">
      <c r="A83" s="18" t="s">
        <v>40</v>
      </c>
      <c r="B83" s="19">
        <v>2018.0</v>
      </c>
      <c r="C83" s="16" t="s">
        <v>41</v>
      </c>
      <c r="D83" s="16" t="s">
        <v>41</v>
      </c>
      <c r="E83" s="16" t="s">
        <v>41</v>
      </c>
      <c r="F83" s="16" t="s">
        <v>41</v>
      </c>
      <c r="G83" s="16" t="s">
        <v>41</v>
      </c>
    </row>
    <row r="84">
      <c r="A84" s="18" t="s">
        <v>40</v>
      </c>
      <c r="B84" s="19">
        <v>2019.0</v>
      </c>
      <c r="C84" s="5">
        <v>18.0</v>
      </c>
      <c r="D84" s="5">
        <v>0.13</v>
      </c>
      <c r="E84" s="5">
        <v>0.08</v>
      </c>
      <c r="F84" s="5">
        <v>0.22</v>
      </c>
      <c r="G84" s="5">
        <v>0.03</v>
      </c>
    </row>
    <row r="85">
      <c r="A85" s="18" t="s">
        <v>40</v>
      </c>
      <c r="B85" s="19">
        <v>2020.0</v>
      </c>
      <c r="C85" s="5">
        <v>15.0</v>
      </c>
      <c r="D85" s="5">
        <v>0.12</v>
      </c>
      <c r="E85" s="5">
        <v>0.07</v>
      </c>
      <c r="F85" s="5">
        <v>0.2</v>
      </c>
      <c r="G85" s="5">
        <v>0.03</v>
      </c>
    </row>
    <row r="86">
      <c r="A86" s="18" t="s">
        <v>40</v>
      </c>
      <c r="B86" s="19">
        <v>2021.0</v>
      </c>
      <c r="C86" s="5">
        <v>14.0</v>
      </c>
      <c r="D86" s="5">
        <v>0.1</v>
      </c>
      <c r="E86" s="5">
        <v>0.05</v>
      </c>
      <c r="F86" s="5">
        <v>0.17</v>
      </c>
      <c r="G86" s="5">
        <v>0.03</v>
      </c>
    </row>
    <row r="87">
      <c r="A87" s="18" t="s">
        <v>40</v>
      </c>
      <c r="B87" s="19">
        <v>2022.0</v>
      </c>
      <c r="C87" s="5">
        <v>20.0</v>
      </c>
      <c r="D87" s="5">
        <v>0.13</v>
      </c>
      <c r="E87" s="5">
        <v>0.07</v>
      </c>
      <c r="F87" s="5">
        <v>0.21</v>
      </c>
      <c r="G87" s="5">
        <v>0.03</v>
      </c>
    </row>
    <row r="88">
      <c r="A88" s="18" t="s">
        <v>40</v>
      </c>
      <c r="B88" s="19">
        <v>2023.0</v>
      </c>
      <c r="C88" s="5">
        <v>20.0</v>
      </c>
      <c r="D88" s="5">
        <v>0.13</v>
      </c>
      <c r="E88" s="5">
        <v>0.08</v>
      </c>
      <c r="F88" s="5">
        <v>0.21</v>
      </c>
      <c r="G88" s="5">
        <v>0.03</v>
      </c>
    </row>
    <row r="89">
      <c r="A89" s="18" t="s">
        <v>40</v>
      </c>
      <c r="B89" s="19">
        <v>2024.0</v>
      </c>
      <c r="C89" s="5">
        <v>11.0</v>
      </c>
      <c r="D89" s="5">
        <v>0.07</v>
      </c>
      <c r="E89" s="5">
        <v>0.04</v>
      </c>
      <c r="F89" s="5">
        <v>0.13</v>
      </c>
      <c r="G89" s="5">
        <v>0.02</v>
      </c>
    </row>
    <row r="90">
      <c r="A90" s="9" t="s">
        <v>39</v>
      </c>
      <c r="C90" s="12">
        <f>SUM(C84:C89)</f>
        <v>98</v>
      </c>
    </row>
    <row r="92">
      <c r="A92" s="20" t="s">
        <v>42</v>
      </c>
    </row>
    <row r="93">
      <c r="A93" s="20" t="s">
        <v>43</v>
      </c>
    </row>
  </sheetData>
  <mergeCells count="5">
    <mergeCell ref="I21:M21"/>
    <mergeCell ref="I27:Q27"/>
    <mergeCell ref="I37:Q37"/>
    <mergeCell ref="A92:G92"/>
    <mergeCell ref="A93:F93"/>
  </mergeCells>
  <drawing r:id="rId1"/>
</worksheet>
</file>