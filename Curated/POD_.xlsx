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<sst xmlns="http://schemas.openxmlformats.org/spreadsheetml/2006/main" count="17" uniqueCount="16">
  <si>
    <t>Place of Death</t>
  </si>
  <si>
    <t>Code</t>
  </si>
  <si>
    <t>Deaths (1999-2020)</t>
  </si>
  <si>
    <t>Deaths (2021-2024)</t>
  </si>
  <si>
    <t>Total Deaths</t>
  </si>
  <si>
    <t>Medical Facility - Inpatient</t>
  </si>
  <si>
    <t>Medical Facility - Outpatient or ER</t>
  </si>
  <si>
    <t>Medical Facility - Dead on Arrival</t>
  </si>
  <si>
    <t>Suppressed</t>
  </si>
  <si>
    <t>Medical Facility - Status unknown</t>
  </si>
  <si>
    <t>Decedent's home</t>
  </si>
  <si>
    <t>Hospice facility</t>
  </si>
  <si>
    <t>Nursing home/long term care</t>
  </si>
  <si>
    <t>Other</t>
  </si>
  <si>
    <t>Place of death unknown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</si>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</sst>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FF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3" numFmtId="0" xfId="0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4" fontId="2" numFmtId="0" xfId="0" applyAlignment="1" applyFill="1" applyFont="1">
      <alignment vertical="bottom"/>
    </xf>
    <xf borderId="0" fillId="5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16.5"/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</v>
      </c>
      <c r="B2" s="3">
        <v>1.0</v>
      </c>
      <c r="C2" s="3">
        <v>8703.0</v>
      </c>
      <c r="D2" s="3">
        <v>2471.0</v>
      </c>
      <c r="E2" s="4">
        <f t="shared" ref="E2:E3" si="1">SUM(C2:D2)</f>
        <v>11174</v>
      </c>
    </row>
    <row r="3">
      <c r="A3" s="2" t="s">
        <v>6</v>
      </c>
      <c r="B3" s="3">
        <v>2.0</v>
      </c>
      <c r="C3" s="3">
        <v>1060.0</v>
      </c>
      <c r="D3" s="3">
        <v>212.0</v>
      </c>
      <c r="E3" s="5">
        <f t="shared" si="1"/>
        <v>1272</v>
      </c>
    </row>
    <row r="4">
      <c r="A4" s="2" t="s">
        <v>7</v>
      </c>
      <c r="B4" s="3">
        <v>3.0</v>
      </c>
      <c r="C4" s="3">
        <v>47.0</v>
      </c>
      <c r="D4" s="2" t="s">
        <v>8</v>
      </c>
      <c r="E4" s="6">
        <v>47.0</v>
      </c>
    </row>
    <row r="5">
      <c r="A5" s="7" t="s">
        <v>9</v>
      </c>
      <c r="B5" s="3">
        <v>10.0</v>
      </c>
      <c r="C5" s="2" t="s">
        <v>8</v>
      </c>
      <c r="D5" s="3">
        <v>0.0</v>
      </c>
      <c r="E5" s="8">
        <v>0.0</v>
      </c>
    </row>
    <row r="6">
      <c r="A6" s="7" t="s">
        <v>10</v>
      </c>
      <c r="B6" s="3">
        <v>4.0</v>
      </c>
      <c r="C6" s="3">
        <v>2410.0</v>
      </c>
      <c r="D6" s="3">
        <v>1167.0</v>
      </c>
      <c r="E6" s="5">
        <f t="shared" ref="E6:E9" si="2">SUM(C6:D6)</f>
        <v>3577</v>
      </c>
    </row>
    <row r="7">
      <c r="A7" s="2" t="s">
        <v>11</v>
      </c>
      <c r="B7" s="3">
        <v>5.0</v>
      </c>
      <c r="C7" s="3">
        <v>579.0</v>
      </c>
      <c r="D7" s="3">
        <v>369.0</v>
      </c>
      <c r="E7" s="5">
        <f t="shared" si="2"/>
        <v>948</v>
      </c>
    </row>
    <row r="8">
      <c r="A8" s="2" t="s">
        <v>12</v>
      </c>
      <c r="B8" s="3">
        <v>6.0</v>
      </c>
      <c r="C8" s="3">
        <v>1256.0</v>
      </c>
      <c r="D8" s="3">
        <v>326.0</v>
      </c>
      <c r="E8" s="5">
        <f t="shared" si="2"/>
        <v>1582</v>
      </c>
    </row>
    <row r="9">
      <c r="A9" s="2" t="s">
        <v>13</v>
      </c>
      <c r="B9" s="3">
        <v>7.0</v>
      </c>
      <c r="C9" s="3">
        <v>341.0</v>
      </c>
      <c r="D9" s="3">
        <v>118.0</v>
      </c>
      <c r="E9" s="5">
        <f t="shared" si="2"/>
        <v>459</v>
      </c>
    </row>
    <row r="10">
      <c r="A10" s="2" t="s">
        <v>14</v>
      </c>
      <c r="B10" s="3">
        <v>9.0</v>
      </c>
      <c r="C10" s="3">
        <v>35.0</v>
      </c>
      <c r="D10" s="3">
        <v>0.0</v>
      </c>
      <c r="E10" s="6">
        <v>35.0</v>
      </c>
    </row>
    <row r="11">
      <c r="A11" s="6" t="s">
        <v>15</v>
      </c>
      <c r="E11" s="5">
        <f>SUM(E2:E10)</f>
        <v>19094</v>
      </c>
    </row>
  </sheetData>
  <drawing r:id="rId1"/>
</worksheet>
</file>