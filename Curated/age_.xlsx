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<sst xmlns="http://schemas.openxmlformats.org/spreadsheetml/2006/main" count="131" uniqueCount="35">
  <si>
    <t>Age</t>
  </si>
  <si>
    <t>Year</t>
  </si>
  <si>
    <t>Deaths</t>
  </si>
  <si>
    <t>Age Adjusted Rate</t>
  </si>
  <si>
    <t>Age Adjusted Rate Lower 95% Confidence Interval</t>
  </si>
  <si>
    <t>Age Adjusted Rate Upper 95% Confidence Interval</t>
  </si>
  <si>
    <t>Age Adjusted Rate Standard Error</t>
  </si>
  <si>
    <t>35-54 yrs</t>
  </si>
  <si>
    <t>ESTIMATED JOINTPOINTS</t>
  </si>
  <si>
    <t>Cohort</t>
  </si>
  <si>
    <t>Joinpoint</t>
  </si>
  <si>
    <t>Estimate</t>
  </si>
  <si>
    <t>Lower CI</t>
  </si>
  <si>
    <t>Upper CI</t>
  </si>
  <si>
    <t>55-74 yrs - 1 Joinpoint</t>
  </si>
  <si>
    <t>75+ yrs - 2 Joinpoints</t>
  </si>
  <si>
    <t>Total</t>
  </si>
  <si>
    <t>ANNUAL PERCENTAGE CHANGE (APC)</t>
  </si>
  <si>
    <t>55-74 yrs</t>
  </si>
  <si>
    <t>Segment</t>
  </si>
  <si>
    <t>Lower Endpoint</t>
  </si>
  <si>
    <t>Upper Endpoint</t>
  </si>
  <si>
    <t>APC</t>
  </si>
  <si>
    <t>Prob &gt; |t|</t>
  </si>
  <si>
    <t>Test Statistic (t)</t>
  </si>
  <si>
    <t>35-54 yrs - 0 Joinpoints</t>
  </si>
  <si>
    <t>-1.6963*</t>
  </si>
  <si>
    <t>4.3947*</t>
  </si>
  <si>
    <t>AVERAGE ANNUAL PERCENTAGE CHANGE (AAPC)</t>
  </si>
  <si>
    <t>Range</t>
  </si>
  <si>
    <t>AAPC</t>
  </si>
  <si>
    <t>P-Value~</t>
  </si>
  <si>
    <t>Test Statistic~</t>
  </si>
  <si>
    <t>Full Range</t>
  </si>
  <si>
    <t>75+ yrs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</si>
</sst>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FF"/>
      <name val="Calibri"/>
    </font>
    <font>
      <color theme="1"/>
      <name val="Calibri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4" xfId="0" applyAlignment="1" applyBorder="1" applyFill="1" applyFont="1" applyNumberFormat="1">
      <alignment horizontal="center" shrinkToFit="0" vertical="bottom" wrapText="1"/>
    </xf>
    <xf borderId="1" fillId="3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4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1" fillId="2" fontId="6" numFmtId="0" xfId="0" applyAlignment="1" applyBorder="1" applyFill="1" applyFont="1">
      <alignment horizontal="center" shrinkToFit="0" vertical="bottom" wrapText="1"/>
    </xf>
    <xf borderId="1" fillId="2" fontId="3" numFmtId="0" xfId="0" applyAlignment="1" applyBorder="1" applyFill="1" applyFont="1">
      <alignment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962025</xdr:colOff>
      <xdr:row>0</xdr:row>
      <xdr:rowOff>533400</xdr:rowOff>
    </xdr:from>
    <xdr:ext cx="6010275" cy="4029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9.0"/>
    <col customWidth="1" min="11" max="11" width="16.38"/>
    <col customWidth="1" min="12" max="12" width="15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>
        <v>1999.0</v>
      </c>
      <c r="C2" s="5">
        <v>60.0</v>
      </c>
      <c r="D2" s="5">
        <v>0.05</v>
      </c>
      <c r="E2" s="5">
        <v>0.03</v>
      </c>
      <c r="F2" s="5">
        <v>0.06</v>
      </c>
      <c r="G2" s="5">
        <v>0.01</v>
      </c>
    </row>
    <row r="3">
      <c r="A3" s="3" t="s">
        <v>7</v>
      </c>
      <c r="B3" s="4">
        <v>2000.0</v>
      </c>
      <c r="C3" s="5">
        <v>76.0</v>
      </c>
      <c r="D3" s="5">
        <v>0.1</v>
      </c>
      <c r="E3" s="5">
        <v>0.08</v>
      </c>
      <c r="F3" s="5">
        <v>0.13</v>
      </c>
      <c r="G3" s="5">
        <v>0.01</v>
      </c>
    </row>
    <row r="4">
      <c r="A4" s="3" t="s">
        <v>7</v>
      </c>
      <c r="B4" s="4">
        <v>2001.0</v>
      </c>
      <c r="C4" s="5">
        <v>55.0</v>
      </c>
      <c r="D4" s="5">
        <v>0.05</v>
      </c>
      <c r="E4" s="5">
        <v>0.03</v>
      </c>
      <c r="F4" s="5">
        <v>0.06</v>
      </c>
      <c r="G4" s="5">
        <v>0.01</v>
      </c>
    </row>
    <row r="5">
      <c r="A5" s="3" t="s">
        <v>7</v>
      </c>
      <c r="B5" s="4">
        <v>2002.0</v>
      </c>
      <c r="C5" s="5">
        <v>59.0</v>
      </c>
      <c r="D5" s="5">
        <v>0.05</v>
      </c>
      <c r="E5" s="5">
        <v>0.03</v>
      </c>
      <c r="F5" s="5">
        <v>0.06</v>
      </c>
      <c r="G5" s="5">
        <v>0.01</v>
      </c>
    </row>
    <row r="6">
      <c r="A6" s="3" t="s">
        <v>7</v>
      </c>
      <c r="B6" s="4">
        <v>2003.0</v>
      </c>
      <c r="C6" s="5">
        <v>76.0</v>
      </c>
      <c r="D6" s="5">
        <v>0.1</v>
      </c>
      <c r="E6" s="5">
        <v>0.08</v>
      </c>
      <c r="F6" s="5">
        <v>0.13</v>
      </c>
      <c r="G6" s="5">
        <v>0.01</v>
      </c>
    </row>
    <row r="7">
      <c r="A7" s="3" t="s">
        <v>7</v>
      </c>
      <c r="B7" s="4">
        <v>2004.0</v>
      </c>
      <c r="C7" s="5">
        <v>69.0</v>
      </c>
      <c r="D7" s="5">
        <v>0.05</v>
      </c>
      <c r="E7" s="5">
        <v>0.03</v>
      </c>
      <c r="F7" s="5">
        <v>0.06</v>
      </c>
      <c r="G7" s="5">
        <v>0.01</v>
      </c>
    </row>
    <row r="8">
      <c r="A8" s="3" t="s">
        <v>7</v>
      </c>
      <c r="B8" s="4">
        <v>2005.0</v>
      </c>
      <c r="C8" s="5">
        <v>69.0</v>
      </c>
      <c r="D8" s="5">
        <v>0.05</v>
      </c>
      <c r="E8" s="5">
        <v>0.03</v>
      </c>
      <c r="F8" s="5">
        <v>0.06</v>
      </c>
      <c r="G8" s="5">
        <v>0.01</v>
      </c>
    </row>
    <row r="9">
      <c r="A9" s="3" t="s">
        <v>7</v>
      </c>
      <c r="B9" s="4">
        <v>2006.0</v>
      </c>
      <c r="C9" s="5">
        <v>55.0</v>
      </c>
      <c r="D9" s="5">
        <v>0.05</v>
      </c>
      <c r="E9" s="5">
        <v>0.03</v>
      </c>
      <c r="F9" s="5">
        <v>0.06</v>
      </c>
      <c r="G9" s="5">
        <v>0.01</v>
      </c>
    </row>
    <row r="10">
      <c r="A10" s="3" t="s">
        <v>7</v>
      </c>
      <c r="B10" s="4">
        <v>2007.0</v>
      </c>
      <c r="C10" s="5">
        <v>60.0</v>
      </c>
      <c r="D10" s="5">
        <v>0.05</v>
      </c>
      <c r="E10" s="5">
        <v>0.03</v>
      </c>
      <c r="F10" s="5">
        <v>0.06</v>
      </c>
      <c r="G10" s="5">
        <v>0.01</v>
      </c>
    </row>
    <row r="11">
      <c r="A11" s="3" t="s">
        <v>7</v>
      </c>
      <c r="B11" s="4">
        <v>2008.0</v>
      </c>
      <c r="C11" s="5">
        <v>50.0</v>
      </c>
      <c r="D11" s="5">
        <v>0.05</v>
      </c>
      <c r="E11" s="5">
        <v>0.03</v>
      </c>
      <c r="F11" s="5">
        <v>0.06</v>
      </c>
      <c r="G11" s="5">
        <v>0.01</v>
      </c>
    </row>
    <row r="12">
      <c r="A12" s="3" t="s">
        <v>7</v>
      </c>
      <c r="B12" s="4">
        <v>2009.0</v>
      </c>
      <c r="C12" s="5">
        <v>67.0</v>
      </c>
      <c r="D12" s="5">
        <v>0.05</v>
      </c>
      <c r="E12" s="5">
        <v>0.03</v>
      </c>
      <c r="F12" s="5">
        <v>0.06</v>
      </c>
      <c r="G12" s="5">
        <v>0.01</v>
      </c>
    </row>
    <row r="13">
      <c r="A13" s="3" t="s">
        <v>7</v>
      </c>
      <c r="B13" s="4">
        <v>2010.0</v>
      </c>
      <c r="C13" s="5">
        <v>66.0</v>
      </c>
      <c r="D13" s="5">
        <v>0.05</v>
      </c>
      <c r="E13" s="5">
        <v>0.03</v>
      </c>
      <c r="F13" s="5">
        <v>0.06</v>
      </c>
      <c r="G13" s="5">
        <v>0.01</v>
      </c>
    </row>
    <row r="14">
      <c r="A14" s="3" t="s">
        <v>7</v>
      </c>
      <c r="B14" s="4">
        <v>2011.0</v>
      </c>
      <c r="C14" s="5">
        <v>63.0</v>
      </c>
      <c r="D14" s="5">
        <v>0.05</v>
      </c>
      <c r="E14" s="5">
        <v>0.03</v>
      </c>
      <c r="F14" s="5">
        <v>0.06</v>
      </c>
      <c r="G14" s="5">
        <v>0.01</v>
      </c>
    </row>
    <row r="15">
      <c r="A15" s="3" t="s">
        <v>7</v>
      </c>
      <c r="B15" s="4">
        <v>2012.0</v>
      </c>
      <c r="C15" s="5">
        <v>45.0</v>
      </c>
      <c r="D15" s="5">
        <v>0.05</v>
      </c>
      <c r="E15" s="5">
        <v>0.03</v>
      </c>
      <c r="F15" s="5">
        <v>0.06</v>
      </c>
      <c r="G15" s="5">
        <v>0.01</v>
      </c>
    </row>
    <row r="16">
      <c r="A16" s="3" t="s">
        <v>7</v>
      </c>
      <c r="B16" s="4">
        <v>2013.0</v>
      </c>
      <c r="C16" s="5">
        <v>51.0</v>
      </c>
      <c r="D16" s="5">
        <v>0.05</v>
      </c>
      <c r="E16" s="5">
        <v>0.03</v>
      </c>
      <c r="F16" s="5">
        <v>0.06</v>
      </c>
      <c r="G16" s="5">
        <v>0.01</v>
      </c>
    </row>
    <row r="17">
      <c r="A17" s="3" t="s">
        <v>7</v>
      </c>
      <c r="B17" s="4">
        <v>2014.0</v>
      </c>
      <c r="C17" s="5">
        <v>54.0</v>
      </c>
      <c r="D17" s="5">
        <v>0.05</v>
      </c>
      <c r="E17" s="5">
        <v>0.03</v>
      </c>
      <c r="F17" s="5">
        <v>0.06</v>
      </c>
      <c r="G17" s="5">
        <v>0.01</v>
      </c>
    </row>
    <row r="18">
      <c r="A18" s="3" t="s">
        <v>7</v>
      </c>
      <c r="B18" s="4">
        <v>2015.0</v>
      </c>
      <c r="C18" s="5">
        <v>60.0</v>
      </c>
      <c r="D18" s="5">
        <v>0.05</v>
      </c>
      <c r="E18" s="5">
        <v>0.03</v>
      </c>
      <c r="F18" s="5">
        <v>0.06</v>
      </c>
      <c r="G18" s="5">
        <v>0.01</v>
      </c>
    </row>
    <row r="19">
      <c r="A19" s="3" t="s">
        <v>7</v>
      </c>
      <c r="B19" s="4">
        <v>2016.0</v>
      </c>
      <c r="C19" s="5">
        <v>58.0</v>
      </c>
      <c r="D19" s="5">
        <v>0.05</v>
      </c>
      <c r="E19" s="5">
        <v>0.03</v>
      </c>
      <c r="F19" s="5">
        <v>0.06</v>
      </c>
      <c r="G19" s="5">
        <v>0.01</v>
      </c>
    </row>
    <row r="20">
      <c r="A20" s="3" t="s">
        <v>7</v>
      </c>
      <c r="B20" s="4">
        <v>2017.0</v>
      </c>
      <c r="C20" s="5">
        <v>58.0</v>
      </c>
      <c r="D20" s="5">
        <v>0.05</v>
      </c>
      <c r="E20" s="5">
        <v>0.03</v>
      </c>
      <c r="F20" s="5">
        <v>0.06</v>
      </c>
      <c r="G20" s="5">
        <v>0.01</v>
      </c>
    </row>
    <row r="21">
      <c r="A21" s="3" t="s">
        <v>7</v>
      </c>
      <c r="B21" s="4">
        <v>2018.0</v>
      </c>
      <c r="C21" s="5">
        <v>53.0</v>
      </c>
      <c r="D21" s="5">
        <v>0.05</v>
      </c>
      <c r="E21" s="5">
        <v>0.03</v>
      </c>
      <c r="F21" s="5">
        <v>0.06</v>
      </c>
      <c r="G21" s="5">
        <v>0.01</v>
      </c>
    </row>
    <row r="22">
      <c r="A22" s="3" t="s">
        <v>7</v>
      </c>
      <c r="B22" s="4">
        <v>2019.0</v>
      </c>
      <c r="C22" s="5">
        <v>55.0</v>
      </c>
      <c r="D22" s="5">
        <v>0.05</v>
      </c>
      <c r="E22" s="5">
        <v>0.03</v>
      </c>
      <c r="F22" s="5">
        <v>0.06</v>
      </c>
      <c r="G22" s="5">
        <v>0.01</v>
      </c>
    </row>
    <row r="23">
      <c r="A23" s="3" t="s">
        <v>7</v>
      </c>
      <c r="B23" s="4">
        <v>2020.0</v>
      </c>
      <c r="C23" s="5">
        <v>64.0</v>
      </c>
      <c r="D23" s="5">
        <v>0.05</v>
      </c>
      <c r="E23" s="5">
        <v>0.03</v>
      </c>
      <c r="F23" s="5">
        <v>0.06</v>
      </c>
      <c r="G23" s="5">
        <v>0.01</v>
      </c>
      <c r="I23" s="6" t="s">
        <v>8</v>
      </c>
    </row>
    <row r="24">
      <c r="A24" s="3" t="s">
        <v>7</v>
      </c>
      <c r="B24" s="4">
        <v>2021.0</v>
      </c>
      <c r="C24" s="5">
        <v>79.0</v>
      </c>
      <c r="D24" s="5">
        <v>0.05</v>
      </c>
      <c r="E24" s="5">
        <v>0.03</v>
      </c>
      <c r="F24" s="5">
        <v>0.07</v>
      </c>
      <c r="G24" s="5">
        <v>0.01</v>
      </c>
      <c r="I24" s="7" t="s">
        <v>9</v>
      </c>
      <c r="J24" s="7" t="s">
        <v>10</v>
      </c>
      <c r="K24" s="7" t="s">
        <v>11</v>
      </c>
      <c r="L24" s="7" t="s">
        <v>12</v>
      </c>
      <c r="M24" s="7" t="s">
        <v>13</v>
      </c>
      <c r="N24" s="8"/>
      <c r="O24" s="8"/>
      <c r="P24" s="8"/>
      <c r="Q24" s="8"/>
    </row>
    <row r="25">
      <c r="A25" s="3" t="s">
        <v>7</v>
      </c>
      <c r="B25" s="4">
        <v>2022.0</v>
      </c>
      <c r="C25" s="5">
        <v>75.0</v>
      </c>
      <c r="D25" s="5">
        <v>0.1</v>
      </c>
      <c r="E25" s="5">
        <v>0.08</v>
      </c>
      <c r="F25" s="5">
        <v>0.12</v>
      </c>
      <c r="G25" s="5">
        <v>0.01</v>
      </c>
      <c r="I25" s="9" t="s">
        <v>14</v>
      </c>
      <c r="J25" s="9">
        <v>1.0</v>
      </c>
      <c r="K25" s="9">
        <v>2014.0</v>
      </c>
      <c r="L25" s="9">
        <v>2011.0</v>
      </c>
      <c r="M25" s="9">
        <v>2017.0</v>
      </c>
    </row>
    <row r="26">
      <c r="A26" s="3" t="s">
        <v>7</v>
      </c>
      <c r="B26" s="4">
        <v>2023.0</v>
      </c>
      <c r="C26" s="5">
        <v>68.0</v>
      </c>
      <c r="D26" s="5">
        <v>0.05</v>
      </c>
      <c r="E26" s="5">
        <v>0.03</v>
      </c>
      <c r="F26" s="5">
        <v>0.07</v>
      </c>
      <c r="G26" s="5">
        <v>0.01</v>
      </c>
      <c r="I26" s="9" t="s">
        <v>15</v>
      </c>
      <c r="J26" s="9">
        <v>1.0</v>
      </c>
      <c r="K26" s="9">
        <v>2018.0</v>
      </c>
      <c r="L26" s="9">
        <v>2016.0</v>
      </c>
      <c r="M26" s="9">
        <v>2019.0</v>
      </c>
    </row>
    <row r="27">
      <c r="A27" s="3" t="s">
        <v>7</v>
      </c>
      <c r="B27" s="4">
        <v>2024.0</v>
      </c>
      <c r="C27" s="5">
        <v>58.0</v>
      </c>
      <c r="D27" s="5">
        <v>0.05</v>
      </c>
      <c r="E27" s="5">
        <v>0.03</v>
      </c>
      <c r="F27" s="5">
        <v>0.07</v>
      </c>
      <c r="G27" s="5">
        <v>0.01</v>
      </c>
      <c r="I27" s="9" t="s">
        <v>15</v>
      </c>
      <c r="J27" s="9">
        <v>2.0</v>
      </c>
      <c r="K27" s="9">
        <v>2021.0</v>
      </c>
      <c r="L27" s="9">
        <v>2020.0</v>
      </c>
      <c r="M27" s="9">
        <v>2022.0</v>
      </c>
    </row>
    <row r="28">
      <c r="A28" s="10" t="s">
        <v>16</v>
      </c>
      <c r="B28" s="11"/>
      <c r="C28" s="12">
        <f>SUM(C2:C27)</f>
        <v>1603</v>
      </c>
      <c r="I28" s="6" t="s">
        <v>17</v>
      </c>
    </row>
    <row r="29">
      <c r="A29" s="3" t="s">
        <v>18</v>
      </c>
      <c r="B29" s="4">
        <v>1999.0</v>
      </c>
      <c r="C29" s="5">
        <v>226.0</v>
      </c>
      <c r="D29" s="5">
        <v>0.52</v>
      </c>
      <c r="E29" s="5">
        <v>0.45</v>
      </c>
      <c r="F29" s="5">
        <v>0.58</v>
      </c>
      <c r="G29" s="5">
        <v>0.03</v>
      </c>
      <c r="I29" s="7" t="s">
        <v>9</v>
      </c>
      <c r="J29" s="7" t="s">
        <v>19</v>
      </c>
      <c r="K29" s="7" t="s">
        <v>20</v>
      </c>
      <c r="L29" s="7" t="s">
        <v>21</v>
      </c>
      <c r="M29" s="7" t="s">
        <v>22</v>
      </c>
      <c r="N29" s="7" t="s">
        <v>12</v>
      </c>
      <c r="O29" s="7" t="s">
        <v>13</v>
      </c>
      <c r="P29" s="7" t="s">
        <v>23</v>
      </c>
      <c r="Q29" s="7" t="s">
        <v>24</v>
      </c>
    </row>
    <row r="30">
      <c r="A30" s="3" t="s">
        <v>18</v>
      </c>
      <c r="B30" s="4">
        <v>2000.0</v>
      </c>
      <c r="C30" s="5">
        <v>223.0</v>
      </c>
      <c r="D30" s="5">
        <v>0.52</v>
      </c>
      <c r="E30" s="5">
        <v>0.45</v>
      </c>
      <c r="F30" s="5">
        <v>0.58</v>
      </c>
      <c r="G30" s="5">
        <v>0.03</v>
      </c>
      <c r="I30" s="9" t="s">
        <v>25</v>
      </c>
      <c r="J30" s="9">
        <v>1.0</v>
      </c>
      <c r="K30" s="9">
        <v>1999.0</v>
      </c>
      <c r="L30" s="9">
        <v>2024.0</v>
      </c>
      <c r="M30" s="9">
        <v>-0.8175</v>
      </c>
      <c r="N30" s="9">
        <v>-2.4344</v>
      </c>
      <c r="O30" s="9">
        <v>0.8261</v>
      </c>
      <c r="P30" s="9">
        <v>0.312917</v>
      </c>
      <c r="Q30" s="9">
        <v>-1.0308</v>
      </c>
    </row>
    <row r="31">
      <c r="A31" s="3" t="s">
        <v>18</v>
      </c>
      <c r="B31" s="4">
        <v>2001.0</v>
      </c>
      <c r="C31" s="5">
        <v>248.0</v>
      </c>
      <c r="D31" s="5">
        <v>0.62</v>
      </c>
      <c r="E31" s="5">
        <v>0.54</v>
      </c>
      <c r="F31" s="5">
        <v>0.69</v>
      </c>
      <c r="G31" s="5">
        <v>0.04</v>
      </c>
      <c r="I31" s="9" t="s">
        <v>14</v>
      </c>
      <c r="J31" s="9">
        <v>1.0</v>
      </c>
      <c r="K31" s="9">
        <v>1999.0</v>
      </c>
      <c r="L31" s="9">
        <v>2014.0</v>
      </c>
      <c r="M31" s="9" t="s">
        <v>26</v>
      </c>
      <c r="N31" s="9">
        <v>-2.8009</v>
      </c>
      <c r="O31" s="9">
        <v>-0.5792</v>
      </c>
      <c r="P31" s="9">
        <v>0.004846</v>
      </c>
      <c r="Q31" s="9">
        <v>-3.1488</v>
      </c>
    </row>
    <row r="32">
      <c r="A32" s="3" t="s">
        <v>18</v>
      </c>
      <c r="B32" s="4">
        <v>2002.0</v>
      </c>
      <c r="C32" s="5">
        <v>230.0</v>
      </c>
      <c r="D32" s="5">
        <v>0.52</v>
      </c>
      <c r="E32" s="5">
        <v>0.45</v>
      </c>
      <c r="F32" s="5">
        <v>0.58</v>
      </c>
      <c r="G32" s="5">
        <v>0.03</v>
      </c>
      <c r="I32" s="9" t="s">
        <v>14</v>
      </c>
      <c r="J32" s="9">
        <v>2.0</v>
      </c>
      <c r="K32" s="9">
        <v>2014.0</v>
      </c>
      <c r="L32" s="9">
        <v>2024.0</v>
      </c>
      <c r="M32" s="9" t="s">
        <v>27</v>
      </c>
      <c r="N32" s="9">
        <v>2.6059</v>
      </c>
      <c r="O32" s="9">
        <v>6.2146</v>
      </c>
      <c r="P32" s="9">
        <v>4.0E-5</v>
      </c>
      <c r="Q32" s="9">
        <v>5.1751</v>
      </c>
    </row>
    <row r="33">
      <c r="A33" s="3" t="s">
        <v>18</v>
      </c>
      <c r="B33" s="4">
        <v>2003.0</v>
      </c>
      <c r="C33" s="5">
        <v>264.0</v>
      </c>
      <c r="D33" s="5">
        <v>0.62</v>
      </c>
      <c r="E33" s="5">
        <v>0.54</v>
      </c>
      <c r="F33" s="5">
        <v>0.69</v>
      </c>
      <c r="G33" s="5">
        <v>0.04</v>
      </c>
      <c r="I33" s="9" t="s">
        <v>15</v>
      </c>
      <c r="J33" s="9">
        <v>1.0</v>
      </c>
      <c r="K33" s="9">
        <v>1999.0</v>
      </c>
      <c r="L33" s="9">
        <v>2018.0</v>
      </c>
      <c r="M33" s="9">
        <v>0.4907</v>
      </c>
      <c r="N33" s="9">
        <v>-0.1996</v>
      </c>
      <c r="O33" s="9">
        <v>1.1857</v>
      </c>
      <c r="P33" s="9">
        <v>0.153038</v>
      </c>
      <c r="Q33" s="9">
        <v>1.4919</v>
      </c>
    </row>
    <row r="34">
      <c r="A34" s="3" t="s">
        <v>18</v>
      </c>
      <c r="B34" s="4">
        <v>2004.0</v>
      </c>
      <c r="C34" s="5">
        <v>240.0</v>
      </c>
      <c r="D34" s="5">
        <v>0.52</v>
      </c>
      <c r="E34" s="5">
        <v>0.45</v>
      </c>
      <c r="F34" s="5">
        <v>0.58</v>
      </c>
      <c r="G34" s="5">
        <v>0.03</v>
      </c>
      <c r="I34" s="9" t="s">
        <v>15</v>
      </c>
      <c r="J34" s="9">
        <v>2.0</v>
      </c>
      <c r="K34" s="9">
        <v>2018.0</v>
      </c>
      <c r="L34" s="9">
        <v>2021.0</v>
      </c>
      <c r="M34" s="9">
        <v>16.3932</v>
      </c>
      <c r="N34" s="9">
        <v>-3.6599</v>
      </c>
      <c r="O34" s="9">
        <v>40.6203</v>
      </c>
      <c r="P34" s="9">
        <v>0.108924</v>
      </c>
      <c r="Q34" s="9">
        <v>1.6867</v>
      </c>
    </row>
    <row r="35">
      <c r="A35" s="3" t="s">
        <v>18</v>
      </c>
      <c r="B35" s="4">
        <v>2005.0</v>
      </c>
      <c r="C35" s="5">
        <v>234.0</v>
      </c>
      <c r="D35" s="5">
        <v>0.47</v>
      </c>
      <c r="E35" s="5">
        <v>0.41</v>
      </c>
      <c r="F35" s="5">
        <v>0.53</v>
      </c>
      <c r="G35" s="5">
        <v>0.03</v>
      </c>
      <c r="I35" s="9" t="s">
        <v>15</v>
      </c>
      <c r="J35" s="9">
        <v>3.0</v>
      </c>
      <c r="K35" s="9">
        <v>2021.0</v>
      </c>
      <c r="L35" s="9">
        <v>2024.0</v>
      </c>
      <c r="M35" s="9">
        <v>-2.4391</v>
      </c>
      <c r="N35" s="9">
        <v>-10.0032</v>
      </c>
      <c r="O35" s="9">
        <v>5.7606</v>
      </c>
      <c r="P35" s="9">
        <v>0.528424</v>
      </c>
      <c r="Q35" s="9">
        <v>-0.6429</v>
      </c>
    </row>
    <row r="36">
      <c r="A36" s="3" t="s">
        <v>18</v>
      </c>
      <c r="B36" s="4">
        <v>2006.0</v>
      </c>
      <c r="C36" s="5">
        <v>258.0</v>
      </c>
      <c r="D36" s="5">
        <v>0.52</v>
      </c>
      <c r="E36" s="5">
        <v>0.45</v>
      </c>
      <c r="F36" s="5">
        <v>0.58</v>
      </c>
      <c r="G36" s="5">
        <v>0.03</v>
      </c>
      <c r="I36" s="6" t="s">
        <v>28</v>
      </c>
    </row>
    <row r="37">
      <c r="A37" s="3" t="s">
        <v>18</v>
      </c>
      <c r="B37" s="4">
        <v>2007.0</v>
      </c>
      <c r="C37" s="5">
        <v>218.0</v>
      </c>
      <c r="D37" s="5">
        <v>0.47</v>
      </c>
      <c r="E37" s="5">
        <v>0.41</v>
      </c>
      <c r="F37" s="5">
        <v>0.54</v>
      </c>
      <c r="G37" s="5">
        <v>0.03</v>
      </c>
      <c r="I37" s="7" t="s">
        <v>9</v>
      </c>
      <c r="J37" s="7" t="s">
        <v>29</v>
      </c>
      <c r="K37" s="7" t="s">
        <v>20</v>
      </c>
      <c r="L37" s="7" t="s">
        <v>21</v>
      </c>
      <c r="M37" s="7" t="s">
        <v>30</v>
      </c>
      <c r="N37" s="7" t="s">
        <v>12</v>
      </c>
      <c r="O37" s="7" t="s">
        <v>13</v>
      </c>
      <c r="P37" s="7" t="s">
        <v>31</v>
      </c>
      <c r="Q37" s="7" t="s">
        <v>32</v>
      </c>
    </row>
    <row r="38">
      <c r="A38" s="3" t="s">
        <v>18</v>
      </c>
      <c r="B38" s="4">
        <v>2008.0</v>
      </c>
      <c r="C38" s="5">
        <v>231.0</v>
      </c>
      <c r="D38" s="5">
        <v>0.47</v>
      </c>
      <c r="E38" s="5">
        <v>0.41</v>
      </c>
      <c r="F38" s="5">
        <v>0.53</v>
      </c>
      <c r="G38" s="5">
        <v>0.03</v>
      </c>
      <c r="I38" s="9" t="s">
        <v>25</v>
      </c>
      <c r="J38" s="9" t="s">
        <v>33</v>
      </c>
      <c r="K38" s="9">
        <v>1999.0</v>
      </c>
      <c r="L38" s="9">
        <v>2024.0</v>
      </c>
      <c r="M38" s="9">
        <v>-0.8175</v>
      </c>
      <c r="N38" s="9">
        <v>-2.4344</v>
      </c>
      <c r="O38" s="9">
        <v>0.8261</v>
      </c>
      <c r="P38" s="9">
        <v>0.312917</v>
      </c>
      <c r="Q38" s="9">
        <v>-1.0308</v>
      </c>
    </row>
    <row r="39">
      <c r="A39" s="3" t="s">
        <v>18</v>
      </c>
      <c r="B39" s="4">
        <v>2009.0</v>
      </c>
      <c r="C39" s="5">
        <v>240.0</v>
      </c>
      <c r="D39" s="5">
        <v>0.43</v>
      </c>
      <c r="E39" s="5">
        <v>0.37</v>
      </c>
      <c r="F39" s="5">
        <v>0.48</v>
      </c>
      <c r="G39" s="5">
        <v>0.03</v>
      </c>
      <c r="I39" s="9" t="s">
        <v>14</v>
      </c>
      <c r="J39" s="9" t="s">
        <v>33</v>
      </c>
      <c r="K39" s="9">
        <v>1999.0</v>
      </c>
      <c r="L39" s="9">
        <v>2024.0</v>
      </c>
      <c r="M39" s="9">
        <v>0.6962</v>
      </c>
      <c r="N39" s="9">
        <v>-0.2185</v>
      </c>
      <c r="O39" s="9">
        <v>1.6194</v>
      </c>
      <c r="P39" s="9">
        <v>0.136192</v>
      </c>
      <c r="Q39" s="9">
        <v>1.4901</v>
      </c>
    </row>
    <row r="40">
      <c r="A40" s="3" t="s">
        <v>18</v>
      </c>
      <c r="B40" s="4">
        <v>2010.0</v>
      </c>
      <c r="C40" s="5">
        <v>252.0</v>
      </c>
      <c r="D40" s="5">
        <v>0.47</v>
      </c>
      <c r="E40" s="5">
        <v>0.41</v>
      </c>
      <c r="F40" s="5">
        <v>0.53</v>
      </c>
      <c r="G40" s="5">
        <v>0.03</v>
      </c>
      <c r="I40" s="9" t="s">
        <v>15</v>
      </c>
      <c r="J40" s="9" t="s">
        <v>33</v>
      </c>
      <c r="K40" s="9">
        <v>1999.0</v>
      </c>
      <c r="L40" s="9">
        <v>2024.0</v>
      </c>
      <c r="M40" s="9">
        <v>1.9154</v>
      </c>
      <c r="N40" s="9">
        <v>-0.4545</v>
      </c>
      <c r="O40" s="9">
        <v>4.3418</v>
      </c>
      <c r="P40" s="9">
        <v>0.113995</v>
      </c>
      <c r="Q40" s="9">
        <v>1.5805</v>
      </c>
    </row>
    <row r="41">
      <c r="A41" s="3" t="s">
        <v>18</v>
      </c>
      <c r="B41" s="4">
        <v>2011.0</v>
      </c>
      <c r="C41" s="5">
        <v>275.0</v>
      </c>
      <c r="D41" s="5">
        <v>0.47</v>
      </c>
      <c r="E41" s="5">
        <v>0.42</v>
      </c>
      <c r="F41" s="5">
        <v>0.53</v>
      </c>
      <c r="G41" s="5">
        <v>0.03</v>
      </c>
    </row>
    <row r="42">
      <c r="A42" s="3" t="s">
        <v>18</v>
      </c>
      <c r="B42" s="4">
        <v>2012.0</v>
      </c>
      <c r="C42" s="5">
        <v>274.0</v>
      </c>
      <c r="D42" s="5">
        <v>0.47</v>
      </c>
      <c r="E42" s="5">
        <v>0.42</v>
      </c>
      <c r="F42" s="5">
        <v>0.53</v>
      </c>
      <c r="G42" s="5">
        <v>0.03</v>
      </c>
    </row>
    <row r="43">
      <c r="A43" s="3" t="s">
        <v>18</v>
      </c>
      <c r="B43" s="4">
        <v>2013.0</v>
      </c>
      <c r="C43" s="5">
        <v>277.0</v>
      </c>
      <c r="D43" s="5">
        <v>0.47</v>
      </c>
      <c r="E43" s="5">
        <v>0.42</v>
      </c>
      <c r="F43" s="5">
        <v>0.53</v>
      </c>
      <c r="G43" s="5">
        <v>0.03</v>
      </c>
    </row>
    <row r="44">
      <c r="A44" s="3" t="s">
        <v>18</v>
      </c>
      <c r="B44" s="4">
        <v>2014.0</v>
      </c>
      <c r="C44" s="5">
        <v>294.0</v>
      </c>
      <c r="D44" s="5">
        <v>0.42</v>
      </c>
      <c r="E44" s="5">
        <v>0.37</v>
      </c>
      <c r="F44" s="5">
        <v>0.46</v>
      </c>
      <c r="G44" s="5">
        <v>0.02</v>
      </c>
    </row>
    <row r="45">
      <c r="A45" s="3" t="s">
        <v>18</v>
      </c>
      <c r="B45" s="4">
        <v>2015.0</v>
      </c>
      <c r="C45" s="5">
        <v>285.0</v>
      </c>
      <c r="D45" s="5">
        <v>0.42</v>
      </c>
      <c r="E45" s="5">
        <v>0.37</v>
      </c>
      <c r="F45" s="5">
        <v>0.46</v>
      </c>
      <c r="G45" s="5">
        <v>0.02</v>
      </c>
    </row>
    <row r="46">
      <c r="A46" s="3" t="s">
        <v>18</v>
      </c>
      <c r="B46" s="4">
        <v>2016.0</v>
      </c>
      <c r="C46" s="5">
        <v>309.0</v>
      </c>
      <c r="D46" s="5">
        <v>0.47</v>
      </c>
      <c r="E46" s="5">
        <v>0.42</v>
      </c>
      <c r="F46" s="5">
        <v>0.52</v>
      </c>
      <c r="G46" s="5">
        <v>0.03</v>
      </c>
    </row>
    <row r="47">
      <c r="A47" s="3" t="s">
        <v>18</v>
      </c>
      <c r="B47" s="4">
        <v>2017.0</v>
      </c>
      <c r="C47" s="5">
        <v>358.0</v>
      </c>
      <c r="D47" s="5">
        <v>0.52</v>
      </c>
      <c r="E47" s="5">
        <v>0.46</v>
      </c>
      <c r="F47" s="5">
        <v>0.57</v>
      </c>
      <c r="G47" s="5">
        <v>0.03</v>
      </c>
    </row>
    <row r="48">
      <c r="A48" s="3" t="s">
        <v>18</v>
      </c>
      <c r="B48" s="4">
        <v>2018.0</v>
      </c>
      <c r="C48" s="5">
        <v>349.0</v>
      </c>
      <c r="D48" s="5">
        <v>0.52</v>
      </c>
      <c r="E48" s="5">
        <v>0.46</v>
      </c>
      <c r="F48" s="5">
        <v>0.57</v>
      </c>
      <c r="G48" s="5">
        <v>0.03</v>
      </c>
    </row>
    <row r="49">
      <c r="A49" s="3" t="s">
        <v>18</v>
      </c>
      <c r="B49" s="4">
        <v>2019.0</v>
      </c>
      <c r="C49" s="5">
        <v>355.0</v>
      </c>
      <c r="D49" s="5">
        <v>0.47</v>
      </c>
      <c r="E49" s="5">
        <v>0.42</v>
      </c>
      <c r="F49" s="5">
        <v>0.52</v>
      </c>
      <c r="G49" s="5">
        <v>0.03</v>
      </c>
    </row>
    <row r="50">
      <c r="A50" s="3" t="s">
        <v>18</v>
      </c>
      <c r="B50" s="4">
        <v>2020.0</v>
      </c>
      <c r="C50" s="5">
        <v>480.0</v>
      </c>
      <c r="D50" s="5">
        <v>0.6</v>
      </c>
      <c r="E50" s="5">
        <v>0.55</v>
      </c>
      <c r="F50" s="5">
        <v>0.66</v>
      </c>
      <c r="G50" s="5">
        <v>0.03</v>
      </c>
    </row>
    <row r="51">
      <c r="A51" s="3" t="s">
        <v>18</v>
      </c>
      <c r="B51" s="4">
        <v>2021.0</v>
      </c>
      <c r="C51" s="5">
        <v>509.0</v>
      </c>
      <c r="D51" s="5">
        <v>0.66</v>
      </c>
      <c r="E51" s="5">
        <v>0.6</v>
      </c>
      <c r="F51" s="5">
        <v>0.72</v>
      </c>
      <c r="G51" s="5">
        <v>0.03</v>
      </c>
    </row>
    <row r="52">
      <c r="A52" s="3" t="s">
        <v>18</v>
      </c>
      <c r="B52" s="4">
        <v>2022.0</v>
      </c>
      <c r="C52" s="5">
        <v>525.0</v>
      </c>
      <c r="D52" s="5">
        <v>0.66</v>
      </c>
      <c r="E52" s="5">
        <v>0.6</v>
      </c>
      <c r="F52" s="5">
        <v>0.72</v>
      </c>
      <c r="G52" s="5">
        <v>0.03</v>
      </c>
    </row>
    <row r="53">
      <c r="A53" s="3" t="s">
        <v>18</v>
      </c>
      <c r="B53" s="4">
        <v>2023.0</v>
      </c>
      <c r="C53" s="5">
        <v>443.0</v>
      </c>
      <c r="D53" s="5">
        <v>0.57</v>
      </c>
      <c r="E53" s="5">
        <v>0.52</v>
      </c>
      <c r="F53" s="5">
        <v>0.63</v>
      </c>
      <c r="G53" s="5">
        <v>0.03</v>
      </c>
    </row>
    <row r="54">
      <c r="A54" s="3" t="s">
        <v>18</v>
      </c>
      <c r="B54" s="4">
        <v>2024.0</v>
      </c>
      <c r="C54" s="5">
        <v>455.0</v>
      </c>
      <c r="D54" s="5">
        <v>0.62</v>
      </c>
      <c r="E54" s="5">
        <v>0.56</v>
      </c>
      <c r="F54" s="5">
        <v>0.67</v>
      </c>
      <c r="G54" s="5">
        <v>0.03</v>
      </c>
    </row>
    <row r="55">
      <c r="A55" s="10" t="s">
        <v>16</v>
      </c>
      <c r="B55" s="11"/>
      <c r="C55" s="12">
        <f>SUM(C29:C54)</f>
        <v>8052</v>
      </c>
    </row>
    <row r="56">
      <c r="A56" s="3" t="s">
        <v>34</v>
      </c>
      <c r="B56" s="4">
        <v>1999.0</v>
      </c>
      <c r="C56" s="5">
        <v>253.0</v>
      </c>
      <c r="D56" s="5">
        <v>1.52</v>
      </c>
      <c r="E56" s="5">
        <v>1.34</v>
      </c>
      <c r="F56" s="5">
        <v>1.71</v>
      </c>
      <c r="G56" s="5">
        <v>0.1</v>
      </c>
    </row>
    <row r="57">
      <c r="A57" s="3" t="s">
        <v>34</v>
      </c>
      <c r="B57" s="4">
        <v>2000.0</v>
      </c>
      <c r="C57" s="5">
        <v>245.0</v>
      </c>
      <c r="D57" s="5">
        <v>1.48</v>
      </c>
      <c r="E57" s="5">
        <v>1.29</v>
      </c>
      <c r="F57" s="5">
        <v>1.66</v>
      </c>
      <c r="G57" s="5">
        <v>0.09</v>
      </c>
    </row>
    <row r="58">
      <c r="A58" s="3" t="s">
        <v>34</v>
      </c>
      <c r="B58" s="4">
        <v>2001.0</v>
      </c>
      <c r="C58" s="5">
        <v>238.0</v>
      </c>
      <c r="D58" s="5">
        <v>1.43</v>
      </c>
      <c r="E58" s="5">
        <v>1.24</v>
      </c>
      <c r="F58" s="5">
        <v>1.61</v>
      </c>
      <c r="G58" s="5">
        <v>0.09</v>
      </c>
    </row>
    <row r="59">
      <c r="A59" s="3" t="s">
        <v>34</v>
      </c>
      <c r="B59" s="4">
        <v>2002.0</v>
      </c>
      <c r="C59" s="5">
        <v>296.0</v>
      </c>
      <c r="D59" s="5">
        <v>1.75</v>
      </c>
      <c r="E59" s="5">
        <v>1.55</v>
      </c>
      <c r="F59" s="5">
        <v>1.95</v>
      </c>
      <c r="G59" s="5">
        <v>0.1</v>
      </c>
    </row>
    <row r="60">
      <c r="A60" s="3" t="s">
        <v>34</v>
      </c>
      <c r="B60" s="4">
        <v>2003.0</v>
      </c>
      <c r="C60" s="5">
        <v>277.0</v>
      </c>
      <c r="D60" s="5">
        <v>1.57</v>
      </c>
      <c r="E60" s="5">
        <v>1.39</v>
      </c>
      <c r="F60" s="5">
        <v>1.76</v>
      </c>
      <c r="G60" s="5">
        <v>0.09</v>
      </c>
    </row>
    <row r="61">
      <c r="A61" s="3" t="s">
        <v>34</v>
      </c>
      <c r="B61" s="4">
        <v>2004.0</v>
      </c>
      <c r="C61" s="5">
        <v>236.0</v>
      </c>
      <c r="D61" s="5">
        <v>1.35</v>
      </c>
      <c r="E61" s="5">
        <v>1.18</v>
      </c>
      <c r="F61" s="5">
        <v>1.52</v>
      </c>
      <c r="G61" s="5">
        <v>0.09</v>
      </c>
    </row>
    <row r="62">
      <c r="A62" s="3" t="s">
        <v>34</v>
      </c>
      <c r="B62" s="4">
        <v>2005.0</v>
      </c>
      <c r="C62" s="5">
        <v>285.0</v>
      </c>
      <c r="D62" s="5">
        <v>1.58</v>
      </c>
      <c r="E62" s="5">
        <v>1.39</v>
      </c>
      <c r="F62" s="5">
        <v>1.76</v>
      </c>
      <c r="G62" s="5">
        <v>0.09</v>
      </c>
    </row>
    <row r="63">
      <c r="A63" s="3" t="s">
        <v>34</v>
      </c>
      <c r="B63" s="4">
        <v>2006.0</v>
      </c>
      <c r="C63" s="5">
        <v>293.0</v>
      </c>
      <c r="D63" s="5">
        <v>1.63</v>
      </c>
      <c r="E63" s="5">
        <v>1.44</v>
      </c>
      <c r="F63" s="5">
        <v>1.81</v>
      </c>
      <c r="G63" s="5">
        <v>0.1</v>
      </c>
    </row>
    <row r="64">
      <c r="A64" s="3" t="s">
        <v>34</v>
      </c>
      <c r="B64" s="4">
        <v>2007.0</v>
      </c>
      <c r="C64" s="5">
        <v>279.0</v>
      </c>
      <c r="D64" s="5">
        <v>1.5</v>
      </c>
      <c r="E64" s="5">
        <v>1.32</v>
      </c>
      <c r="F64" s="5">
        <v>1.68</v>
      </c>
      <c r="G64" s="5">
        <v>0.09</v>
      </c>
    </row>
    <row r="65">
      <c r="A65" s="3" t="s">
        <v>34</v>
      </c>
      <c r="B65" s="4">
        <v>2008.0</v>
      </c>
      <c r="C65" s="5">
        <v>272.0</v>
      </c>
      <c r="D65" s="5">
        <v>1.45</v>
      </c>
      <c r="E65" s="5">
        <v>1.28</v>
      </c>
      <c r="F65" s="5">
        <v>1.62</v>
      </c>
      <c r="G65" s="5">
        <v>0.09</v>
      </c>
    </row>
    <row r="66">
      <c r="A66" s="3" t="s">
        <v>34</v>
      </c>
      <c r="B66" s="4">
        <v>2009.0</v>
      </c>
      <c r="C66" s="5">
        <v>265.0</v>
      </c>
      <c r="D66" s="5">
        <v>1.45</v>
      </c>
      <c r="E66" s="5">
        <v>1.28</v>
      </c>
      <c r="F66" s="5">
        <v>1.63</v>
      </c>
      <c r="G66" s="5">
        <v>0.09</v>
      </c>
    </row>
    <row r="67">
      <c r="A67" s="3" t="s">
        <v>34</v>
      </c>
      <c r="B67" s="4">
        <v>2010.0</v>
      </c>
      <c r="C67" s="5">
        <v>291.0</v>
      </c>
      <c r="D67" s="5">
        <v>1.55</v>
      </c>
      <c r="E67" s="5">
        <v>1.37</v>
      </c>
      <c r="F67" s="5">
        <v>1.73</v>
      </c>
      <c r="G67" s="5">
        <v>0.09</v>
      </c>
    </row>
    <row r="68">
      <c r="A68" s="3" t="s">
        <v>34</v>
      </c>
      <c r="B68" s="4">
        <v>2011.0</v>
      </c>
      <c r="C68" s="5">
        <v>301.0</v>
      </c>
      <c r="D68" s="5">
        <v>1.58</v>
      </c>
      <c r="E68" s="5">
        <v>1.4</v>
      </c>
      <c r="F68" s="5">
        <v>1.76</v>
      </c>
      <c r="G68" s="5">
        <v>0.09</v>
      </c>
    </row>
    <row r="69">
      <c r="A69" s="3" t="s">
        <v>34</v>
      </c>
      <c r="B69" s="4">
        <v>2012.0</v>
      </c>
      <c r="C69" s="5">
        <v>275.0</v>
      </c>
      <c r="D69" s="5">
        <v>1.38</v>
      </c>
      <c r="E69" s="5">
        <v>1.21</v>
      </c>
      <c r="F69" s="5">
        <v>1.54</v>
      </c>
      <c r="G69" s="5">
        <v>0.08</v>
      </c>
    </row>
    <row r="70">
      <c r="A70" s="3" t="s">
        <v>34</v>
      </c>
      <c r="B70" s="4">
        <v>2013.0</v>
      </c>
      <c r="C70" s="5">
        <v>337.0</v>
      </c>
      <c r="D70" s="5">
        <v>1.73</v>
      </c>
      <c r="E70" s="5">
        <v>1.54</v>
      </c>
      <c r="F70" s="5">
        <v>1.91</v>
      </c>
      <c r="G70" s="5">
        <v>0.09</v>
      </c>
    </row>
    <row r="71">
      <c r="A71" s="3" t="s">
        <v>34</v>
      </c>
      <c r="B71" s="4">
        <v>2014.0</v>
      </c>
      <c r="C71" s="5">
        <v>350.0</v>
      </c>
      <c r="D71" s="5">
        <v>1.78</v>
      </c>
      <c r="E71" s="5">
        <v>1.59</v>
      </c>
      <c r="F71" s="5">
        <v>1.96</v>
      </c>
      <c r="G71" s="5">
        <v>0.1</v>
      </c>
    </row>
    <row r="72">
      <c r="A72" s="3" t="s">
        <v>34</v>
      </c>
      <c r="B72" s="4">
        <v>2015.0</v>
      </c>
      <c r="C72" s="5">
        <v>296.0</v>
      </c>
      <c r="D72" s="5">
        <v>1.48</v>
      </c>
      <c r="E72" s="5">
        <v>1.31</v>
      </c>
      <c r="F72" s="5">
        <v>1.65</v>
      </c>
      <c r="G72" s="5">
        <v>0.09</v>
      </c>
    </row>
    <row r="73">
      <c r="A73" s="3" t="s">
        <v>34</v>
      </c>
      <c r="B73" s="4">
        <v>2016.0</v>
      </c>
      <c r="C73" s="5">
        <v>368.0</v>
      </c>
      <c r="D73" s="5">
        <v>1.78</v>
      </c>
      <c r="E73" s="5">
        <v>1.59</v>
      </c>
      <c r="F73" s="5">
        <v>1.96</v>
      </c>
      <c r="G73" s="5">
        <v>0.09</v>
      </c>
    </row>
    <row r="74">
      <c r="A74" s="3" t="s">
        <v>34</v>
      </c>
      <c r="B74" s="4">
        <v>2017.0</v>
      </c>
      <c r="C74" s="5">
        <v>357.0</v>
      </c>
      <c r="D74" s="5">
        <v>1.65</v>
      </c>
      <c r="E74" s="5">
        <v>1.48</v>
      </c>
      <c r="F74" s="5">
        <v>1.82</v>
      </c>
      <c r="G74" s="5">
        <v>0.09</v>
      </c>
    </row>
    <row r="75">
      <c r="A75" s="3" t="s">
        <v>34</v>
      </c>
      <c r="B75" s="4">
        <v>2018.0</v>
      </c>
      <c r="C75" s="5">
        <v>368.0</v>
      </c>
      <c r="D75" s="5">
        <v>1.63</v>
      </c>
      <c r="E75" s="5">
        <v>1.46</v>
      </c>
      <c r="F75" s="5">
        <v>1.8</v>
      </c>
      <c r="G75" s="5">
        <v>0.09</v>
      </c>
    </row>
    <row r="76">
      <c r="A76" s="3" t="s">
        <v>34</v>
      </c>
      <c r="B76" s="4">
        <v>2019.0</v>
      </c>
      <c r="C76" s="5">
        <v>413.0</v>
      </c>
      <c r="D76" s="5">
        <v>1.83</v>
      </c>
      <c r="E76" s="5">
        <v>1.65</v>
      </c>
      <c r="F76" s="5">
        <v>2.01</v>
      </c>
      <c r="G76" s="5">
        <v>0.09</v>
      </c>
    </row>
    <row r="77">
      <c r="A77" s="3" t="s">
        <v>34</v>
      </c>
      <c r="B77" s="4">
        <v>2020.0</v>
      </c>
      <c r="C77" s="5">
        <v>521.0</v>
      </c>
      <c r="D77" s="5">
        <v>2.21</v>
      </c>
      <c r="E77" s="5">
        <v>2.02</v>
      </c>
      <c r="F77" s="5">
        <v>2.4</v>
      </c>
      <c r="G77" s="5">
        <v>0.1</v>
      </c>
    </row>
    <row r="78">
      <c r="A78" s="3" t="s">
        <v>34</v>
      </c>
      <c r="B78" s="4">
        <v>2021.0</v>
      </c>
      <c r="C78" s="5">
        <v>583.0</v>
      </c>
      <c r="D78" s="5">
        <v>2.63</v>
      </c>
      <c r="E78" s="5">
        <v>2.42</v>
      </c>
      <c r="F78" s="5">
        <v>2.85</v>
      </c>
      <c r="G78" s="5">
        <v>0.11</v>
      </c>
    </row>
    <row r="79">
      <c r="A79" s="3" t="s">
        <v>34</v>
      </c>
      <c r="B79" s="4">
        <v>2022.0</v>
      </c>
      <c r="C79" s="5">
        <v>611.0</v>
      </c>
      <c r="D79" s="5">
        <v>2.53</v>
      </c>
      <c r="E79" s="5">
        <v>2.33</v>
      </c>
      <c r="F79" s="5">
        <v>2.74</v>
      </c>
      <c r="G79" s="5">
        <v>0.1</v>
      </c>
    </row>
    <row r="80">
      <c r="A80" s="3" t="s">
        <v>34</v>
      </c>
      <c r="B80" s="4">
        <v>2023.0</v>
      </c>
      <c r="C80" s="5">
        <v>599.0</v>
      </c>
      <c r="D80" s="5">
        <v>2.41</v>
      </c>
      <c r="E80" s="5">
        <v>2.21</v>
      </c>
      <c r="F80" s="5">
        <v>2.61</v>
      </c>
      <c r="G80" s="5">
        <v>0.1</v>
      </c>
    </row>
    <row r="81">
      <c r="A81" s="3" t="s">
        <v>34</v>
      </c>
      <c r="B81" s="4">
        <v>2024.0</v>
      </c>
      <c r="C81" s="5">
        <v>613.0</v>
      </c>
      <c r="D81" s="5">
        <v>2.43</v>
      </c>
      <c r="E81" s="5">
        <v>2.25</v>
      </c>
      <c r="F81" s="5">
        <v>2.63</v>
      </c>
      <c r="G81" s="5">
        <v>0.1</v>
      </c>
    </row>
    <row r="82">
      <c r="A82" s="10" t="s">
        <v>16</v>
      </c>
      <c r="B82" s="11"/>
      <c r="C82" s="12">
        <f>SUM(C56:C81)</f>
        <v>9222</v>
      </c>
    </row>
  </sheetData>
  <mergeCells count="3">
    <mergeCell ref="I23:M23"/>
    <mergeCell ref="I28:Q28"/>
    <mergeCell ref="I36:Q36"/>
  </mergeCells>
  <drawing r:id="rId1"/>
</worksheet>
</file>