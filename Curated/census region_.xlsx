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<sst xmlns="http://schemas.openxmlformats.org/spreadsheetml/2006/main" count="168" uniqueCount="39">
  <si>
    <t>Census Regions</t>
  </si>
  <si>
    <t>Year</t>
  </si>
  <si>
    <t>Deaths</t>
  </si>
  <si>
    <t>Age Adjusted Rate</t>
  </si>
  <si>
    <t>Age Adjusted Rate Lower 95% Confidence Interval</t>
  </si>
  <si>
    <t>Age Adjusted Rate Upper 95% Confidence Interval</t>
  </si>
  <si>
    <t>Age Adjusted Rate Standard Error</t>
  </si>
  <si>
    <t>Census Region 1: Northeast</t>
  </si>
  <si>
    <t>ESTIMATED JOINTPOINTS</t>
  </si>
  <si>
    <t>Cohort</t>
  </si>
  <si>
    <t>Joinpoint</t>
  </si>
  <si>
    <t>Estimate</t>
  </si>
  <si>
    <t>Lower CI</t>
  </si>
  <si>
    <t>Upper CI</t>
  </si>
  <si>
    <t>Census Region 2: Midwest - 2 Joinpoints</t>
  </si>
  <si>
    <t>Census Region 3: South - 1 Joinpoint</t>
  </si>
  <si>
    <t>Total</t>
  </si>
  <si>
    <t>Census Region 4: West - 2 Joinpoints</t>
  </si>
  <si>
    <t>Census Region 2: Midwest</t>
  </si>
  <si>
    <t>ANNUAL PERCENTAGE CHANGE (APC)</t>
  </si>
  <si>
    <t>Segment</t>
  </si>
  <si>
    <t>Lower Endpoint</t>
  </si>
  <si>
    <t>Upper Endpoint</t>
  </si>
  <si>
    <t>APC</t>
  </si>
  <si>
    <t>Prob &gt; |t|</t>
  </si>
  <si>
    <t>Test Statistic (t)</t>
  </si>
  <si>
    <t>Census Region 1: Northeast - 0 Joinpoints</t>
  </si>
  <si>
    <t>0.9486*</t>
  </si>
  <si>
    <t>-1.4219*</t>
  </si>
  <si>
    <t>5.5905*</t>
  </si>
  <si>
    <t>AVERAGE ANNUAL PERCENTAGE CHANGE (AAPC)</t>
  </si>
  <si>
    <t>Range</t>
  </si>
  <si>
    <t>AAPC</t>
  </si>
  <si>
    <t>P-Value~</t>
  </si>
  <si>
    <t>Test Statistic~</t>
  </si>
  <si>
    <t>Full Range</t>
  </si>
  <si>
    <t>1.3254*</t>
  </si>
  <si>
    <t>Census Region 3: South</t>
  </si>
  <si>
    <t>Census Region 4: West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</si>
</sst>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0000FF"/>
      <name val="Calibri"/>
    </font>
    <font>
      <color theme="1"/>
      <name val="Arial"/>
    </font>
    <font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4" xfId="0" applyAlignment="1" applyBorder="1" applyFill="1" applyFont="1" applyNumberFormat="1">
      <alignment horizontal="center" shrinkToFit="0" vertical="bottom" wrapText="1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3" fontId="4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readingOrder="0"/>
    </xf>
    <xf borderId="1" fillId="4" fontId="3" numFmtId="0" xfId="0" applyAlignment="1" applyBorder="1" applyFill="1" applyFont="1">
      <alignment horizontal="center" vertical="bottom"/>
    </xf>
    <xf borderId="1" fillId="2" fontId="6" numFmtId="0" xfId="0" applyAlignment="1" applyBorder="1" applyFill="1" applyFont="1">
      <alignment horizontal="center" vertical="bottom"/>
    </xf>
    <xf borderId="0" fillId="0" fontId="5" numFmtId="0" xfId="0" applyFont="1"/>
    <xf borderId="1" fillId="5" fontId="3" numFmtId="0" xfId="0" applyAlignment="1" applyBorder="1" applyFill="1" applyFont="1">
      <alignment horizontal="center" vertical="bottom"/>
    </xf>
    <xf borderId="1" fillId="6" fontId="3" numFmtId="0" xfId="0" applyAlignment="1" applyBorder="1" applyFill="1" applyFont="1">
      <alignment horizontal="center" vertical="bottom"/>
    </xf>
    <xf borderId="1" fillId="7" fontId="3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361950</xdr:colOff>
      <xdr:row>0</xdr:row>
      <xdr:rowOff>314325</xdr:rowOff>
    </xdr:from>
    <xdr:ext cx="7410450" cy="4419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9" max="9" width="34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5">
        <v>1999.0</v>
      </c>
      <c r="C2" s="6">
        <v>114.0</v>
      </c>
      <c r="D2" s="6">
        <v>0.28</v>
      </c>
      <c r="E2" s="6">
        <v>0.22</v>
      </c>
      <c r="F2" s="6">
        <v>0.33</v>
      </c>
      <c r="G2" s="6">
        <v>0.03</v>
      </c>
    </row>
    <row r="3">
      <c r="A3" s="4" t="s">
        <v>7</v>
      </c>
      <c r="B3" s="5">
        <v>2000.0</v>
      </c>
      <c r="C3" s="6">
        <v>125.0</v>
      </c>
      <c r="D3" s="6">
        <v>0.32</v>
      </c>
      <c r="E3" s="6">
        <v>0.27</v>
      </c>
      <c r="F3" s="6">
        <v>0.38</v>
      </c>
      <c r="G3" s="6">
        <v>0.03</v>
      </c>
    </row>
    <row r="4">
      <c r="A4" s="4" t="s">
        <v>7</v>
      </c>
      <c r="B4" s="5">
        <v>2001.0</v>
      </c>
      <c r="C4" s="6">
        <v>114.0</v>
      </c>
      <c r="D4" s="6">
        <v>0.29</v>
      </c>
      <c r="E4" s="6">
        <v>0.23</v>
      </c>
      <c r="F4" s="6">
        <v>0.34</v>
      </c>
      <c r="G4" s="6">
        <v>0.03</v>
      </c>
    </row>
    <row r="5">
      <c r="A5" s="4" t="s">
        <v>7</v>
      </c>
      <c r="B5" s="5">
        <v>2002.0</v>
      </c>
      <c r="C5" s="6">
        <v>102.0</v>
      </c>
      <c r="D5" s="6">
        <v>0.26</v>
      </c>
      <c r="E5" s="6">
        <v>0.21</v>
      </c>
      <c r="F5" s="6">
        <v>0.31</v>
      </c>
      <c r="G5" s="6">
        <v>0.03</v>
      </c>
    </row>
    <row r="6">
      <c r="A6" s="4" t="s">
        <v>7</v>
      </c>
      <c r="B6" s="5">
        <v>2003.0</v>
      </c>
      <c r="C6" s="6">
        <v>131.0</v>
      </c>
      <c r="D6" s="6">
        <v>0.33</v>
      </c>
      <c r="E6" s="6">
        <v>0.27</v>
      </c>
      <c r="F6" s="6">
        <v>0.39</v>
      </c>
      <c r="G6" s="6">
        <v>0.03</v>
      </c>
    </row>
    <row r="7">
      <c r="A7" s="4" t="s">
        <v>7</v>
      </c>
      <c r="B7" s="5">
        <v>2004.0</v>
      </c>
      <c r="C7" s="6">
        <v>115.0</v>
      </c>
      <c r="D7" s="6">
        <v>0.29</v>
      </c>
      <c r="E7" s="6">
        <v>0.23</v>
      </c>
      <c r="F7" s="6">
        <v>0.34</v>
      </c>
      <c r="G7" s="6">
        <v>0.03</v>
      </c>
    </row>
    <row r="8">
      <c r="A8" s="4" t="s">
        <v>7</v>
      </c>
      <c r="B8" s="5">
        <v>2005.0</v>
      </c>
      <c r="C8" s="6">
        <v>140.0</v>
      </c>
      <c r="D8" s="6">
        <v>0.35</v>
      </c>
      <c r="E8" s="6">
        <v>0.29</v>
      </c>
      <c r="F8" s="6">
        <v>0.41</v>
      </c>
      <c r="G8" s="6">
        <v>0.03</v>
      </c>
    </row>
    <row r="9">
      <c r="A9" s="4" t="s">
        <v>7</v>
      </c>
      <c r="B9" s="5">
        <v>2006.0</v>
      </c>
      <c r="C9" s="6">
        <v>111.0</v>
      </c>
      <c r="D9" s="6">
        <v>0.28</v>
      </c>
      <c r="E9" s="6">
        <v>0.22</v>
      </c>
      <c r="F9" s="6">
        <v>0.33</v>
      </c>
      <c r="G9" s="6">
        <v>0.03</v>
      </c>
    </row>
    <row r="10">
      <c r="A10" s="4" t="s">
        <v>7</v>
      </c>
      <c r="B10" s="5">
        <v>2007.0</v>
      </c>
      <c r="C10" s="6">
        <v>95.0</v>
      </c>
      <c r="D10" s="6">
        <v>0.23</v>
      </c>
      <c r="E10" s="6">
        <v>0.19</v>
      </c>
      <c r="F10" s="6">
        <v>0.29</v>
      </c>
      <c r="G10" s="6">
        <v>0.02</v>
      </c>
    </row>
    <row r="11">
      <c r="A11" s="4" t="s">
        <v>7</v>
      </c>
      <c r="B11" s="5">
        <v>2008.0</v>
      </c>
      <c r="C11" s="6">
        <v>127.0</v>
      </c>
      <c r="D11" s="6">
        <v>0.3</v>
      </c>
      <c r="E11" s="6">
        <v>0.25</v>
      </c>
      <c r="F11" s="6">
        <v>0.35</v>
      </c>
      <c r="G11" s="6">
        <v>0.03</v>
      </c>
    </row>
    <row r="12">
      <c r="A12" s="4" t="s">
        <v>7</v>
      </c>
      <c r="B12" s="5">
        <v>2009.0</v>
      </c>
      <c r="C12" s="6">
        <v>102.0</v>
      </c>
      <c r="D12" s="6">
        <v>0.24</v>
      </c>
      <c r="E12" s="6">
        <v>0.19</v>
      </c>
      <c r="F12" s="6">
        <v>0.29</v>
      </c>
      <c r="G12" s="6">
        <v>0.02</v>
      </c>
    </row>
    <row r="13">
      <c r="A13" s="4" t="s">
        <v>7</v>
      </c>
      <c r="B13" s="5">
        <v>2010.0</v>
      </c>
      <c r="C13" s="6">
        <v>114.0</v>
      </c>
      <c r="D13" s="6">
        <v>0.3</v>
      </c>
      <c r="E13" s="6">
        <v>0.24</v>
      </c>
      <c r="F13" s="6">
        <v>0.36</v>
      </c>
      <c r="G13" s="6">
        <v>0.03</v>
      </c>
    </row>
    <row r="14">
      <c r="A14" s="4" t="s">
        <v>7</v>
      </c>
      <c r="B14" s="5">
        <v>2011.0</v>
      </c>
      <c r="C14" s="6">
        <v>127.0</v>
      </c>
      <c r="D14" s="6">
        <v>0.29</v>
      </c>
      <c r="E14" s="6">
        <v>0.23</v>
      </c>
      <c r="F14" s="6">
        <v>0.34</v>
      </c>
      <c r="G14" s="6">
        <v>0.03</v>
      </c>
    </row>
    <row r="15">
      <c r="A15" s="4" t="s">
        <v>7</v>
      </c>
      <c r="B15" s="5">
        <v>2012.0</v>
      </c>
      <c r="C15" s="6">
        <v>114.0</v>
      </c>
      <c r="D15" s="6">
        <v>0.24</v>
      </c>
      <c r="E15" s="6">
        <v>0.19</v>
      </c>
      <c r="F15" s="6">
        <v>0.29</v>
      </c>
      <c r="G15" s="6">
        <v>0.02</v>
      </c>
    </row>
    <row r="16">
      <c r="A16" s="4" t="s">
        <v>7</v>
      </c>
      <c r="B16" s="5">
        <v>2013.0</v>
      </c>
      <c r="C16" s="6">
        <v>136.0</v>
      </c>
      <c r="D16" s="6">
        <v>0.32</v>
      </c>
      <c r="E16" s="6">
        <v>0.26</v>
      </c>
      <c r="F16" s="6">
        <v>0.37</v>
      </c>
      <c r="G16" s="6">
        <v>0.03</v>
      </c>
    </row>
    <row r="17">
      <c r="A17" s="4" t="s">
        <v>7</v>
      </c>
      <c r="B17" s="5">
        <v>2014.0</v>
      </c>
      <c r="C17" s="6">
        <v>133.0</v>
      </c>
      <c r="D17" s="6">
        <v>0.31</v>
      </c>
      <c r="E17" s="6">
        <v>0.25</v>
      </c>
      <c r="F17" s="6">
        <v>0.36</v>
      </c>
      <c r="G17" s="6">
        <v>0.03</v>
      </c>
    </row>
    <row r="18">
      <c r="A18" s="4" t="s">
        <v>7</v>
      </c>
      <c r="B18" s="5">
        <v>2015.0</v>
      </c>
      <c r="C18" s="6">
        <v>98.0</v>
      </c>
      <c r="D18" s="6">
        <v>0.21</v>
      </c>
      <c r="E18" s="6">
        <v>0.17</v>
      </c>
      <c r="F18" s="6">
        <v>0.26</v>
      </c>
      <c r="G18" s="6">
        <v>0.02</v>
      </c>
    </row>
    <row r="19">
      <c r="A19" s="4" t="s">
        <v>7</v>
      </c>
      <c r="B19" s="5">
        <v>2016.0</v>
      </c>
      <c r="C19" s="6">
        <v>128.0</v>
      </c>
      <c r="D19" s="6">
        <v>0.28</v>
      </c>
      <c r="E19" s="6">
        <v>0.23</v>
      </c>
      <c r="F19" s="6">
        <v>0.33</v>
      </c>
      <c r="G19" s="6">
        <v>0.03</v>
      </c>
    </row>
    <row r="20">
      <c r="A20" s="4" t="s">
        <v>7</v>
      </c>
      <c r="B20" s="5">
        <v>2017.0</v>
      </c>
      <c r="C20" s="6">
        <v>140.0</v>
      </c>
      <c r="D20" s="6">
        <v>0.32</v>
      </c>
      <c r="E20" s="6">
        <v>0.26</v>
      </c>
      <c r="F20" s="6">
        <v>0.37</v>
      </c>
      <c r="G20" s="6">
        <v>0.03</v>
      </c>
    </row>
    <row r="21">
      <c r="A21" s="4" t="s">
        <v>7</v>
      </c>
      <c r="B21" s="5">
        <v>2018.0</v>
      </c>
      <c r="C21" s="6">
        <v>138.0</v>
      </c>
      <c r="D21" s="6">
        <v>0.3</v>
      </c>
      <c r="E21" s="6">
        <v>0.25</v>
      </c>
      <c r="F21" s="6">
        <v>0.35</v>
      </c>
      <c r="G21" s="6">
        <v>0.03</v>
      </c>
    </row>
    <row r="22">
      <c r="A22" s="4" t="s">
        <v>7</v>
      </c>
      <c r="B22" s="5">
        <v>2019.0</v>
      </c>
      <c r="C22" s="6">
        <v>158.0</v>
      </c>
      <c r="D22" s="6">
        <v>0.31</v>
      </c>
      <c r="E22" s="6">
        <v>0.26</v>
      </c>
      <c r="F22" s="6">
        <v>0.36</v>
      </c>
      <c r="G22" s="6">
        <v>0.03</v>
      </c>
    </row>
    <row r="23">
      <c r="A23" s="4" t="s">
        <v>7</v>
      </c>
      <c r="B23" s="5">
        <v>2020.0</v>
      </c>
      <c r="C23" s="6">
        <v>179.0</v>
      </c>
      <c r="D23" s="6">
        <v>0.36</v>
      </c>
      <c r="E23" s="6">
        <v>0.31</v>
      </c>
      <c r="F23" s="6">
        <v>0.42</v>
      </c>
      <c r="G23" s="6">
        <v>0.03</v>
      </c>
      <c r="I23" s="7" t="s">
        <v>8</v>
      </c>
    </row>
    <row r="24">
      <c r="A24" s="4" t="s">
        <v>7</v>
      </c>
      <c r="B24" s="5">
        <v>2021.0</v>
      </c>
      <c r="C24" s="6">
        <v>210.0</v>
      </c>
      <c r="D24" s="6">
        <v>0.41</v>
      </c>
      <c r="E24" s="6">
        <v>0.36</v>
      </c>
      <c r="F24" s="6">
        <v>0.48</v>
      </c>
      <c r="G24" s="6">
        <v>0.03</v>
      </c>
      <c r="I24" s="8" t="s">
        <v>9</v>
      </c>
      <c r="J24" s="8" t="s">
        <v>10</v>
      </c>
      <c r="K24" s="8" t="s">
        <v>11</v>
      </c>
      <c r="L24" s="8" t="s">
        <v>12</v>
      </c>
      <c r="M24" s="8" t="s">
        <v>13</v>
      </c>
      <c r="N24" s="9"/>
      <c r="O24" s="9"/>
      <c r="P24" s="9"/>
      <c r="Q24" s="9"/>
    </row>
    <row r="25">
      <c r="A25" s="4" t="s">
        <v>7</v>
      </c>
      <c r="B25" s="5">
        <v>2022.0</v>
      </c>
      <c r="C25" s="6">
        <v>207.0</v>
      </c>
      <c r="D25" s="6">
        <v>0.4</v>
      </c>
      <c r="E25" s="6">
        <v>0.34</v>
      </c>
      <c r="F25" s="6">
        <v>0.46</v>
      </c>
      <c r="G25" s="6">
        <v>0.03</v>
      </c>
      <c r="I25" s="10" t="s">
        <v>14</v>
      </c>
      <c r="J25" s="10">
        <v>1.0</v>
      </c>
      <c r="K25" s="10">
        <v>2018.0</v>
      </c>
      <c r="L25" s="10">
        <v>2015.0</v>
      </c>
      <c r="M25" s="10">
        <v>2019.0</v>
      </c>
    </row>
    <row r="26">
      <c r="A26" s="4" t="s">
        <v>7</v>
      </c>
      <c r="B26" s="5">
        <v>2023.0</v>
      </c>
      <c r="C26" s="6">
        <v>176.0</v>
      </c>
      <c r="D26" s="6">
        <v>0.33</v>
      </c>
      <c r="E26" s="6">
        <v>0.29</v>
      </c>
      <c r="F26" s="6">
        <v>0.39</v>
      </c>
      <c r="G26" s="6">
        <v>0.03</v>
      </c>
      <c r="I26" s="10" t="s">
        <v>14</v>
      </c>
      <c r="J26" s="10">
        <v>2.0</v>
      </c>
      <c r="K26" s="10">
        <v>2021.0</v>
      </c>
      <c r="L26" s="10">
        <v>2020.0</v>
      </c>
      <c r="M26" s="10">
        <v>2022.0</v>
      </c>
    </row>
    <row r="27">
      <c r="A27" s="4" t="s">
        <v>7</v>
      </c>
      <c r="B27" s="11">
        <v>2024.0</v>
      </c>
      <c r="C27" s="6">
        <v>189.0</v>
      </c>
      <c r="D27" s="6">
        <v>0.32</v>
      </c>
      <c r="E27" s="6">
        <v>0.28</v>
      </c>
      <c r="F27" s="6">
        <v>0.38</v>
      </c>
      <c r="G27" s="6">
        <v>0.03</v>
      </c>
      <c r="I27" s="10" t="s">
        <v>15</v>
      </c>
      <c r="J27" s="10">
        <v>1.0</v>
      </c>
      <c r="K27" s="10">
        <v>2014.0</v>
      </c>
      <c r="L27" s="10">
        <v>2011.0</v>
      </c>
      <c r="M27" s="10">
        <v>2016.0</v>
      </c>
    </row>
    <row r="28">
      <c r="A28" s="12" t="s">
        <v>16</v>
      </c>
      <c r="B28" s="6"/>
      <c r="C28" s="13">
        <f>SUM(C2:C27)</f>
        <v>3523</v>
      </c>
      <c r="I28" s="10" t="s">
        <v>17</v>
      </c>
      <c r="J28" s="10">
        <v>1.0</v>
      </c>
      <c r="K28" s="10">
        <v>2018.0</v>
      </c>
      <c r="L28" s="10">
        <v>2016.0</v>
      </c>
      <c r="M28" s="10">
        <v>2019.0</v>
      </c>
    </row>
    <row r="29">
      <c r="A29" s="14" t="s">
        <v>18</v>
      </c>
      <c r="B29" s="5">
        <v>1999.0</v>
      </c>
      <c r="C29" s="6">
        <v>134.0</v>
      </c>
      <c r="D29" s="6">
        <v>0.3</v>
      </c>
      <c r="E29" s="6">
        <v>0.25</v>
      </c>
      <c r="F29" s="6">
        <v>0.35</v>
      </c>
      <c r="G29" s="6">
        <v>0.03</v>
      </c>
      <c r="I29" s="10" t="s">
        <v>17</v>
      </c>
      <c r="J29" s="10">
        <v>2.0</v>
      </c>
      <c r="K29" s="10">
        <v>2021.0</v>
      </c>
      <c r="L29" s="10">
        <v>2020.0</v>
      </c>
      <c r="M29" s="10">
        <v>2022.0</v>
      </c>
    </row>
    <row r="30">
      <c r="A30" s="14" t="s">
        <v>18</v>
      </c>
      <c r="B30" s="5">
        <v>2000.0</v>
      </c>
      <c r="C30" s="6">
        <v>141.0</v>
      </c>
      <c r="D30" s="6">
        <v>0.36</v>
      </c>
      <c r="E30" s="6">
        <v>0.3</v>
      </c>
      <c r="F30" s="6">
        <v>0.42</v>
      </c>
      <c r="G30" s="6">
        <v>0.03</v>
      </c>
      <c r="I30" s="7" t="s">
        <v>19</v>
      </c>
    </row>
    <row r="31">
      <c r="A31" s="14" t="s">
        <v>18</v>
      </c>
      <c r="B31" s="5">
        <v>2001.0</v>
      </c>
      <c r="C31" s="6">
        <v>134.0</v>
      </c>
      <c r="D31" s="6">
        <v>0.3</v>
      </c>
      <c r="E31" s="6">
        <v>0.25</v>
      </c>
      <c r="F31" s="6">
        <v>0.35</v>
      </c>
      <c r="G31" s="6">
        <v>0.03</v>
      </c>
      <c r="I31" s="8" t="s">
        <v>9</v>
      </c>
      <c r="J31" s="8" t="s">
        <v>20</v>
      </c>
      <c r="K31" s="8" t="s">
        <v>21</v>
      </c>
      <c r="L31" s="8" t="s">
        <v>22</v>
      </c>
      <c r="M31" s="8" t="s">
        <v>23</v>
      </c>
      <c r="N31" s="8" t="s">
        <v>12</v>
      </c>
      <c r="O31" s="8" t="s">
        <v>13</v>
      </c>
      <c r="P31" s="8" t="s">
        <v>24</v>
      </c>
      <c r="Q31" s="8" t="s">
        <v>25</v>
      </c>
    </row>
    <row r="32">
      <c r="A32" s="14" t="s">
        <v>18</v>
      </c>
      <c r="B32" s="5">
        <v>2002.0</v>
      </c>
      <c r="C32" s="6">
        <v>152.0</v>
      </c>
      <c r="D32" s="6">
        <v>0.33</v>
      </c>
      <c r="E32" s="6">
        <v>0.27</v>
      </c>
      <c r="F32" s="6">
        <v>0.38</v>
      </c>
      <c r="G32" s="6">
        <v>0.03</v>
      </c>
      <c r="I32" s="10" t="s">
        <v>26</v>
      </c>
      <c r="J32" s="10">
        <v>1.0</v>
      </c>
      <c r="K32" s="10">
        <v>1999.0</v>
      </c>
      <c r="L32" s="10">
        <v>2024.0</v>
      </c>
      <c r="M32" s="10" t="s">
        <v>27</v>
      </c>
      <c r="N32" s="10">
        <v>0.0858</v>
      </c>
      <c r="O32" s="10">
        <v>1.8188</v>
      </c>
      <c r="P32" s="10">
        <v>0.032465</v>
      </c>
      <c r="Q32" s="10">
        <v>2.2701</v>
      </c>
    </row>
    <row r="33">
      <c r="A33" s="14" t="s">
        <v>18</v>
      </c>
      <c r="B33" s="5">
        <v>2003.0</v>
      </c>
      <c r="C33" s="6">
        <v>163.0</v>
      </c>
      <c r="D33" s="6">
        <v>0.37</v>
      </c>
      <c r="E33" s="6">
        <v>0.31</v>
      </c>
      <c r="F33" s="6">
        <v>0.43</v>
      </c>
      <c r="G33" s="6">
        <v>0.03</v>
      </c>
      <c r="I33" s="10" t="s">
        <v>14</v>
      </c>
      <c r="J33" s="10">
        <v>1.0</v>
      </c>
      <c r="K33" s="10">
        <v>1999.0</v>
      </c>
      <c r="L33" s="10">
        <v>2018.0</v>
      </c>
      <c r="M33" s="10">
        <v>-0.6722</v>
      </c>
      <c r="N33" s="10">
        <v>-1.5718</v>
      </c>
      <c r="O33" s="10">
        <v>0.2357</v>
      </c>
      <c r="P33" s="10">
        <v>0.136789</v>
      </c>
      <c r="Q33" s="10">
        <v>-1.5574</v>
      </c>
    </row>
    <row r="34">
      <c r="A34" s="14" t="s">
        <v>18</v>
      </c>
      <c r="B34" s="5">
        <v>2004.0</v>
      </c>
      <c r="C34" s="6">
        <v>122.0</v>
      </c>
      <c r="D34" s="6">
        <v>0.28</v>
      </c>
      <c r="E34" s="6">
        <v>0.23</v>
      </c>
      <c r="F34" s="6">
        <v>0.33</v>
      </c>
      <c r="G34" s="6">
        <v>0.03</v>
      </c>
      <c r="I34" s="10" t="s">
        <v>14</v>
      </c>
      <c r="J34" s="10">
        <v>2.0</v>
      </c>
      <c r="K34" s="10">
        <v>2018.0</v>
      </c>
      <c r="L34" s="10">
        <v>2021.0</v>
      </c>
      <c r="M34" s="10">
        <v>24.6722</v>
      </c>
      <c r="N34" s="10">
        <v>-6.3852</v>
      </c>
      <c r="O34" s="10">
        <v>66.0329</v>
      </c>
      <c r="P34" s="10">
        <v>0.123252</v>
      </c>
      <c r="Q34" s="10">
        <v>1.6171</v>
      </c>
    </row>
    <row r="35">
      <c r="A35" s="14" t="s">
        <v>18</v>
      </c>
      <c r="B35" s="5">
        <v>2005.0</v>
      </c>
      <c r="C35" s="6">
        <v>146.0</v>
      </c>
      <c r="D35" s="6">
        <v>0.33</v>
      </c>
      <c r="E35" s="6">
        <v>0.27</v>
      </c>
      <c r="F35" s="6">
        <v>0.38</v>
      </c>
      <c r="G35" s="6">
        <v>0.03</v>
      </c>
      <c r="I35" s="10" t="s">
        <v>14</v>
      </c>
      <c r="J35" s="10">
        <v>3.0</v>
      </c>
      <c r="K35" s="10">
        <v>2021.0</v>
      </c>
      <c r="L35" s="10">
        <v>2024.0</v>
      </c>
      <c r="M35" s="10">
        <v>-9.0867</v>
      </c>
      <c r="N35" s="10">
        <v>-19.1724</v>
      </c>
      <c r="O35" s="10">
        <v>2.2575</v>
      </c>
      <c r="P35" s="10">
        <v>0.105952</v>
      </c>
      <c r="Q35" s="10">
        <v>-1.7021</v>
      </c>
    </row>
    <row r="36">
      <c r="A36" s="14" t="s">
        <v>18</v>
      </c>
      <c r="B36" s="5">
        <v>2006.0</v>
      </c>
      <c r="C36" s="6">
        <v>153.0</v>
      </c>
      <c r="D36" s="6">
        <v>0.34</v>
      </c>
      <c r="E36" s="6">
        <v>0.29</v>
      </c>
      <c r="F36" s="6">
        <v>0.4</v>
      </c>
      <c r="G36" s="6">
        <v>0.03</v>
      </c>
      <c r="I36" s="10" t="s">
        <v>15</v>
      </c>
      <c r="J36" s="10">
        <v>1.0</v>
      </c>
      <c r="K36" s="10">
        <v>1999.0</v>
      </c>
      <c r="L36" s="10">
        <v>2014.0</v>
      </c>
      <c r="M36" s="10" t="s">
        <v>28</v>
      </c>
      <c r="N36" s="10">
        <v>-2.4067</v>
      </c>
      <c r="O36" s="10">
        <v>-0.4273</v>
      </c>
      <c r="P36" s="10">
        <v>0.007362</v>
      </c>
      <c r="Q36" s="10">
        <v>-2.9666</v>
      </c>
    </row>
    <row r="37">
      <c r="A37" s="14" t="s">
        <v>18</v>
      </c>
      <c r="B37" s="5">
        <v>2007.0</v>
      </c>
      <c r="C37" s="6">
        <v>146.0</v>
      </c>
      <c r="D37" s="6">
        <v>0.3</v>
      </c>
      <c r="E37" s="6">
        <v>0.25</v>
      </c>
      <c r="F37" s="6">
        <v>0.35</v>
      </c>
      <c r="G37" s="6">
        <v>0.03</v>
      </c>
      <c r="I37" s="10" t="s">
        <v>15</v>
      </c>
      <c r="J37" s="10">
        <v>2.0</v>
      </c>
      <c r="K37" s="10">
        <v>2014.0</v>
      </c>
      <c r="L37" s="10">
        <v>2024.0</v>
      </c>
      <c r="M37" s="10" t="s">
        <v>29</v>
      </c>
      <c r="N37" s="10">
        <v>3.8978</v>
      </c>
      <c r="O37" s="10">
        <v>7.3109</v>
      </c>
      <c r="P37" s="10">
        <v>1.0E-6</v>
      </c>
      <c r="Q37" s="10">
        <v>6.9999</v>
      </c>
    </row>
    <row r="38">
      <c r="A38" s="14" t="s">
        <v>18</v>
      </c>
      <c r="B38" s="5">
        <v>2008.0</v>
      </c>
      <c r="C38" s="6">
        <v>145.0</v>
      </c>
      <c r="D38" s="6">
        <v>0.31</v>
      </c>
      <c r="E38" s="6">
        <v>0.26</v>
      </c>
      <c r="F38" s="6">
        <v>0.36</v>
      </c>
      <c r="G38" s="6">
        <v>0.03</v>
      </c>
      <c r="I38" s="10" t="s">
        <v>17</v>
      </c>
      <c r="J38" s="10">
        <v>1.0</v>
      </c>
      <c r="K38" s="10">
        <v>1999.0</v>
      </c>
      <c r="L38" s="10">
        <v>2018.0</v>
      </c>
      <c r="M38" s="10">
        <v>0.3126</v>
      </c>
      <c r="N38" s="10">
        <v>-0.4332</v>
      </c>
      <c r="O38" s="10">
        <v>1.064</v>
      </c>
      <c r="P38" s="10">
        <v>0.391195</v>
      </c>
      <c r="Q38" s="10">
        <v>0.8786</v>
      </c>
    </row>
    <row r="39">
      <c r="A39" s="14" t="s">
        <v>18</v>
      </c>
      <c r="B39" s="5">
        <v>2009.0</v>
      </c>
      <c r="C39" s="6">
        <v>127.0</v>
      </c>
      <c r="D39" s="6">
        <v>0.26</v>
      </c>
      <c r="E39" s="6">
        <v>0.21</v>
      </c>
      <c r="F39" s="6">
        <v>0.3</v>
      </c>
      <c r="G39" s="6">
        <v>0.02</v>
      </c>
      <c r="I39" s="10" t="s">
        <v>17</v>
      </c>
      <c r="J39" s="10">
        <v>2.0</v>
      </c>
      <c r="K39" s="10">
        <v>2018.0</v>
      </c>
      <c r="L39" s="10">
        <v>2021.0</v>
      </c>
      <c r="M39" s="10">
        <v>17.5499</v>
      </c>
      <c r="N39" s="10">
        <v>-2.6603</v>
      </c>
      <c r="O39" s="10">
        <v>41.9562</v>
      </c>
      <c r="P39" s="10">
        <v>0.088538</v>
      </c>
      <c r="Q39" s="10">
        <v>1.8007</v>
      </c>
    </row>
    <row r="40">
      <c r="A40" s="14" t="s">
        <v>18</v>
      </c>
      <c r="B40" s="5">
        <v>2010.0</v>
      </c>
      <c r="C40" s="6">
        <v>149.0</v>
      </c>
      <c r="D40" s="6">
        <v>0.28</v>
      </c>
      <c r="E40" s="6">
        <v>0.24</v>
      </c>
      <c r="F40" s="6">
        <v>0.33</v>
      </c>
      <c r="G40" s="6">
        <v>0.02</v>
      </c>
      <c r="I40" s="10" t="s">
        <v>17</v>
      </c>
      <c r="J40" s="10">
        <v>3.0</v>
      </c>
      <c r="K40" s="10">
        <v>2021.0</v>
      </c>
      <c r="L40" s="10">
        <v>2024.0</v>
      </c>
      <c r="M40" s="10">
        <v>-7.9331</v>
      </c>
      <c r="N40" s="10">
        <v>-15.4224</v>
      </c>
      <c r="O40" s="10">
        <v>0.2194</v>
      </c>
      <c r="P40" s="10">
        <v>0.05558</v>
      </c>
      <c r="Q40" s="10">
        <v>-2.0467</v>
      </c>
    </row>
    <row r="41">
      <c r="A41" s="14" t="s">
        <v>18</v>
      </c>
      <c r="B41" s="5">
        <v>2011.0</v>
      </c>
      <c r="C41" s="6">
        <v>152.0</v>
      </c>
      <c r="D41" s="6">
        <v>0.29</v>
      </c>
      <c r="E41" s="6">
        <v>0.24</v>
      </c>
      <c r="F41" s="6">
        <v>0.34</v>
      </c>
      <c r="G41" s="6">
        <v>0.02</v>
      </c>
      <c r="I41" s="7" t="s">
        <v>30</v>
      </c>
    </row>
    <row r="42">
      <c r="A42" s="14" t="s">
        <v>18</v>
      </c>
      <c r="B42" s="5">
        <v>2012.0</v>
      </c>
      <c r="C42" s="6">
        <v>156.0</v>
      </c>
      <c r="D42" s="6">
        <v>0.3</v>
      </c>
      <c r="E42" s="6">
        <v>0.25</v>
      </c>
      <c r="F42" s="6">
        <v>0.35</v>
      </c>
      <c r="G42" s="6">
        <v>0.02</v>
      </c>
      <c r="I42" s="8" t="s">
        <v>9</v>
      </c>
      <c r="J42" s="8" t="s">
        <v>31</v>
      </c>
      <c r="K42" s="8" t="s">
        <v>21</v>
      </c>
      <c r="L42" s="8" t="s">
        <v>22</v>
      </c>
      <c r="M42" s="8" t="s">
        <v>32</v>
      </c>
      <c r="N42" s="8" t="s">
        <v>12</v>
      </c>
      <c r="O42" s="8" t="s">
        <v>13</v>
      </c>
      <c r="P42" s="8" t="s">
        <v>33</v>
      </c>
      <c r="Q42" s="8" t="s">
        <v>34</v>
      </c>
    </row>
    <row r="43">
      <c r="A43" s="14" t="s">
        <v>18</v>
      </c>
      <c r="B43" s="5">
        <v>2013.0</v>
      </c>
      <c r="C43" s="6">
        <v>147.0</v>
      </c>
      <c r="D43" s="6">
        <v>0.28</v>
      </c>
      <c r="E43" s="6">
        <v>0.23</v>
      </c>
      <c r="F43" s="6">
        <v>0.32</v>
      </c>
      <c r="G43" s="6">
        <v>0.02</v>
      </c>
      <c r="I43" s="10" t="s">
        <v>26</v>
      </c>
      <c r="J43" s="10" t="s">
        <v>35</v>
      </c>
      <c r="K43" s="10">
        <v>1999.0</v>
      </c>
      <c r="L43" s="10">
        <v>2024.0</v>
      </c>
      <c r="M43" s="10" t="s">
        <v>27</v>
      </c>
      <c r="N43" s="10">
        <v>0.0858</v>
      </c>
      <c r="O43" s="10">
        <v>1.8188</v>
      </c>
      <c r="P43" s="10">
        <v>0.032465</v>
      </c>
      <c r="Q43" s="10">
        <v>2.2701</v>
      </c>
    </row>
    <row r="44">
      <c r="A44" s="14" t="s">
        <v>18</v>
      </c>
      <c r="B44" s="5">
        <v>2014.0</v>
      </c>
      <c r="C44" s="6">
        <v>162.0</v>
      </c>
      <c r="D44" s="6">
        <v>0.31</v>
      </c>
      <c r="E44" s="6">
        <v>0.26</v>
      </c>
      <c r="F44" s="6">
        <v>0.36</v>
      </c>
      <c r="G44" s="6">
        <v>0.03</v>
      </c>
      <c r="I44" s="10" t="s">
        <v>14</v>
      </c>
      <c r="J44" s="10" t="s">
        <v>35</v>
      </c>
      <c r="K44" s="10">
        <v>1999.0</v>
      </c>
      <c r="L44" s="10">
        <v>2024.0</v>
      </c>
      <c r="M44" s="10">
        <v>0.9954</v>
      </c>
      <c r="N44" s="10">
        <v>-2.5041</v>
      </c>
      <c r="O44" s="10">
        <v>4.6205</v>
      </c>
      <c r="P44" s="10">
        <v>0.581988</v>
      </c>
      <c r="Q44" s="10">
        <v>0.5505</v>
      </c>
    </row>
    <row r="45">
      <c r="A45" s="14" t="s">
        <v>18</v>
      </c>
      <c r="B45" s="5">
        <v>2015.0</v>
      </c>
      <c r="C45" s="6">
        <v>162.0</v>
      </c>
      <c r="D45" s="6">
        <v>0.29</v>
      </c>
      <c r="E45" s="6">
        <v>0.25</v>
      </c>
      <c r="F45" s="6">
        <v>0.34</v>
      </c>
      <c r="G45" s="6">
        <v>0.02</v>
      </c>
      <c r="I45" s="10" t="s">
        <v>15</v>
      </c>
      <c r="J45" s="10" t="s">
        <v>35</v>
      </c>
      <c r="K45" s="10">
        <v>1999.0</v>
      </c>
      <c r="L45" s="10">
        <v>2024.0</v>
      </c>
      <c r="M45" s="10" t="s">
        <v>36</v>
      </c>
      <c r="N45" s="10">
        <v>0.4851</v>
      </c>
      <c r="O45" s="10">
        <v>2.1727</v>
      </c>
      <c r="P45" s="10">
        <v>0.001943</v>
      </c>
      <c r="Q45" s="10">
        <v>3.0988</v>
      </c>
    </row>
    <row r="46">
      <c r="A46" s="14" t="s">
        <v>18</v>
      </c>
      <c r="B46" s="5">
        <v>2016.0</v>
      </c>
      <c r="C46" s="6">
        <v>158.0</v>
      </c>
      <c r="D46" s="6">
        <v>0.27</v>
      </c>
      <c r="E46" s="6">
        <v>0.23</v>
      </c>
      <c r="F46" s="6">
        <v>0.32</v>
      </c>
      <c r="G46" s="6">
        <v>0.02</v>
      </c>
      <c r="I46" s="10" t="s">
        <v>17</v>
      </c>
      <c r="J46" s="10" t="s">
        <v>35</v>
      </c>
      <c r="K46" s="10">
        <v>1999.0</v>
      </c>
      <c r="L46" s="10">
        <v>2024.0</v>
      </c>
      <c r="M46" s="10">
        <v>1.1927</v>
      </c>
      <c r="N46" s="10">
        <v>-1.1827</v>
      </c>
      <c r="O46" s="10">
        <v>3.6252</v>
      </c>
      <c r="P46" s="10">
        <v>0.327937</v>
      </c>
      <c r="Q46" s="10">
        <v>0.9783</v>
      </c>
    </row>
    <row r="47">
      <c r="A47" s="14" t="s">
        <v>18</v>
      </c>
      <c r="B47" s="5">
        <v>2017.0</v>
      </c>
      <c r="C47" s="6">
        <v>180.0</v>
      </c>
      <c r="D47" s="6">
        <v>0.32</v>
      </c>
      <c r="E47" s="6">
        <v>0.27</v>
      </c>
      <c r="F47" s="6">
        <v>0.37</v>
      </c>
      <c r="G47" s="6">
        <v>0.02</v>
      </c>
    </row>
    <row r="48">
      <c r="A48" s="14" t="s">
        <v>18</v>
      </c>
      <c r="B48" s="5">
        <v>2018.0</v>
      </c>
      <c r="C48" s="6">
        <v>175.0</v>
      </c>
      <c r="D48" s="6">
        <v>0.3</v>
      </c>
      <c r="E48" s="6">
        <v>0.25</v>
      </c>
      <c r="F48" s="6">
        <v>0.34</v>
      </c>
      <c r="G48" s="6">
        <v>0.02</v>
      </c>
    </row>
    <row r="49">
      <c r="A49" s="14" t="s">
        <v>18</v>
      </c>
      <c r="B49" s="5">
        <v>2019.0</v>
      </c>
      <c r="C49" s="6">
        <v>199.0</v>
      </c>
      <c r="D49" s="6">
        <v>0.35</v>
      </c>
      <c r="E49" s="6">
        <v>0.3</v>
      </c>
      <c r="F49" s="6">
        <v>0.39</v>
      </c>
      <c r="G49" s="6">
        <v>0.03</v>
      </c>
    </row>
    <row r="50">
      <c r="A50" s="14" t="s">
        <v>18</v>
      </c>
      <c r="B50" s="5">
        <v>2020.0</v>
      </c>
      <c r="C50" s="6">
        <v>262.0</v>
      </c>
      <c r="D50" s="6">
        <v>0.47</v>
      </c>
      <c r="E50" s="6">
        <v>0.41</v>
      </c>
      <c r="F50" s="6">
        <v>0.53</v>
      </c>
      <c r="G50" s="6">
        <v>0.03</v>
      </c>
    </row>
    <row r="51">
      <c r="A51" s="14" t="s">
        <v>18</v>
      </c>
      <c r="B51" s="5">
        <v>2021.0</v>
      </c>
      <c r="C51" s="6">
        <v>302.0</v>
      </c>
      <c r="D51" s="6">
        <v>0.56</v>
      </c>
      <c r="E51" s="6">
        <v>0.5</v>
      </c>
      <c r="F51" s="6">
        <v>0.63</v>
      </c>
      <c r="G51" s="6">
        <v>0.03</v>
      </c>
    </row>
    <row r="52">
      <c r="A52" s="14" t="s">
        <v>18</v>
      </c>
      <c r="B52" s="5">
        <v>2022.0</v>
      </c>
      <c r="C52" s="6">
        <v>292.0</v>
      </c>
      <c r="D52" s="6">
        <v>0.51</v>
      </c>
      <c r="E52" s="6">
        <v>0.45</v>
      </c>
      <c r="F52" s="6">
        <v>0.57</v>
      </c>
      <c r="G52" s="6">
        <v>0.03</v>
      </c>
    </row>
    <row r="53">
      <c r="A53" s="14" t="s">
        <v>18</v>
      </c>
      <c r="B53" s="5">
        <v>2023.0</v>
      </c>
      <c r="C53" s="6">
        <v>233.0</v>
      </c>
      <c r="D53" s="6">
        <v>0.36</v>
      </c>
      <c r="E53" s="6">
        <v>0.31</v>
      </c>
      <c r="F53" s="6">
        <v>0.41</v>
      </c>
      <c r="G53" s="6">
        <v>0.03</v>
      </c>
    </row>
    <row r="54">
      <c r="A54" s="14" t="s">
        <v>18</v>
      </c>
      <c r="B54" s="11">
        <v>2024.0</v>
      </c>
      <c r="C54" s="6">
        <v>273.0</v>
      </c>
      <c r="D54" s="6">
        <v>0.46</v>
      </c>
      <c r="E54" s="6">
        <v>0.41</v>
      </c>
      <c r="F54" s="6">
        <v>0.52</v>
      </c>
      <c r="G54" s="6">
        <v>0.03</v>
      </c>
    </row>
    <row r="55">
      <c r="A55" s="12" t="s">
        <v>16</v>
      </c>
      <c r="B55" s="6"/>
      <c r="C55" s="13">
        <f>SUM(C29:C54)</f>
        <v>4565</v>
      </c>
    </row>
    <row r="56">
      <c r="A56" s="15" t="s">
        <v>37</v>
      </c>
      <c r="B56" s="5">
        <v>1999.0</v>
      </c>
      <c r="C56" s="6">
        <v>196.0</v>
      </c>
      <c r="D56" s="6">
        <v>0.31</v>
      </c>
      <c r="E56" s="6">
        <v>0.27</v>
      </c>
      <c r="F56" s="6">
        <v>0.36</v>
      </c>
      <c r="G56" s="6">
        <v>0.02</v>
      </c>
    </row>
    <row r="57">
      <c r="A57" s="15" t="s">
        <v>37</v>
      </c>
      <c r="B57" s="5">
        <v>2000.0</v>
      </c>
      <c r="C57" s="6">
        <v>185.0</v>
      </c>
      <c r="D57" s="6">
        <v>0.29</v>
      </c>
      <c r="E57" s="6">
        <v>0.25</v>
      </c>
      <c r="F57" s="6">
        <v>0.34</v>
      </c>
      <c r="G57" s="6">
        <v>0.02</v>
      </c>
    </row>
    <row r="58">
      <c r="A58" s="15" t="s">
        <v>37</v>
      </c>
      <c r="B58" s="5">
        <v>2001.0</v>
      </c>
      <c r="C58" s="6">
        <v>197.0</v>
      </c>
      <c r="D58" s="6">
        <v>0.3</v>
      </c>
      <c r="E58" s="6">
        <v>0.25</v>
      </c>
      <c r="F58" s="6">
        <v>0.34</v>
      </c>
      <c r="G58" s="6">
        <v>0.02</v>
      </c>
    </row>
    <row r="59">
      <c r="A59" s="15" t="s">
        <v>37</v>
      </c>
      <c r="B59" s="5">
        <v>2002.0</v>
      </c>
      <c r="C59" s="6">
        <v>228.0</v>
      </c>
      <c r="D59" s="6">
        <v>0.32</v>
      </c>
      <c r="E59" s="6">
        <v>0.28</v>
      </c>
      <c r="F59" s="6">
        <v>0.37</v>
      </c>
      <c r="G59" s="6">
        <v>0.02</v>
      </c>
    </row>
    <row r="60">
      <c r="A60" s="15" t="s">
        <v>37</v>
      </c>
      <c r="B60" s="5">
        <v>2003.0</v>
      </c>
      <c r="C60" s="6">
        <v>202.0</v>
      </c>
      <c r="D60" s="6">
        <v>0.28</v>
      </c>
      <c r="E60" s="6">
        <v>0.24</v>
      </c>
      <c r="F60" s="6">
        <v>0.33</v>
      </c>
      <c r="G60" s="6">
        <v>0.02</v>
      </c>
    </row>
    <row r="61">
      <c r="A61" s="15" t="s">
        <v>37</v>
      </c>
      <c r="B61" s="5">
        <v>2004.0</v>
      </c>
      <c r="C61" s="6">
        <v>186.0</v>
      </c>
      <c r="D61" s="6">
        <v>0.27</v>
      </c>
      <c r="E61" s="6">
        <v>0.23</v>
      </c>
      <c r="F61" s="6">
        <v>0.31</v>
      </c>
      <c r="G61" s="6">
        <v>0.02</v>
      </c>
    </row>
    <row r="62">
      <c r="A62" s="15" t="s">
        <v>37</v>
      </c>
      <c r="B62" s="5">
        <v>2005.0</v>
      </c>
      <c r="C62" s="6">
        <v>188.0</v>
      </c>
      <c r="D62" s="6">
        <v>0.26</v>
      </c>
      <c r="E62" s="6">
        <v>0.22</v>
      </c>
      <c r="F62" s="6">
        <v>0.3</v>
      </c>
      <c r="G62" s="6">
        <v>0.02</v>
      </c>
    </row>
    <row r="63">
      <c r="A63" s="15" t="s">
        <v>37</v>
      </c>
      <c r="B63" s="5">
        <v>2006.0</v>
      </c>
      <c r="C63" s="6">
        <v>216.0</v>
      </c>
      <c r="D63" s="6">
        <v>0.29</v>
      </c>
      <c r="E63" s="6">
        <v>0.25</v>
      </c>
      <c r="F63" s="6">
        <v>0.33</v>
      </c>
      <c r="G63" s="6">
        <v>0.02</v>
      </c>
    </row>
    <row r="64">
      <c r="A64" s="15" t="s">
        <v>37</v>
      </c>
      <c r="B64" s="5">
        <v>2007.0</v>
      </c>
      <c r="C64" s="6">
        <v>200.0</v>
      </c>
      <c r="D64" s="6">
        <v>0.26</v>
      </c>
      <c r="E64" s="6">
        <v>0.23</v>
      </c>
      <c r="F64" s="6">
        <v>0.3</v>
      </c>
      <c r="G64" s="6">
        <v>0.02</v>
      </c>
    </row>
    <row r="65">
      <c r="A65" s="15" t="s">
        <v>37</v>
      </c>
      <c r="B65" s="5">
        <v>2008.0</v>
      </c>
      <c r="C65" s="6">
        <v>171.0</v>
      </c>
      <c r="D65" s="6">
        <v>0.22</v>
      </c>
      <c r="E65" s="6">
        <v>0.19</v>
      </c>
      <c r="F65" s="6">
        <v>0.26</v>
      </c>
      <c r="G65" s="6">
        <v>0.02</v>
      </c>
    </row>
    <row r="66">
      <c r="A66" s="15" t="s">
        <v>37</v>
      </c>
      <c r="B66" s="5">
        <v>2009.0</v>
      </c>
      <c r="C66" s="6">
        <v>213.0</v>
      </c>
      <c r="D66" s="6">
        <v>0.26</v>
      </c>
      <c r="E66" s="6">
        <v>0.22</v>
      </c>
      <c r="F66" s="6">
        <v>0.29</v>
      </c>
      <c r="G66" s="6">
        <v>0.02</v>
      </c>
    </row>
    <row r="67">
      <c r="A67" s="15" t="s">
        <v>37</v>
      </c>
      <c r="B67" s="5">
        <v>2010.0</v>
      </c>
      <c r="C67" s="6">
        <v>213.0</v>
      </c>
      <c r="D67" s="6">
        <v>0.27</v>
      </c>
      <c r="E67" s="6">
        <v>0.23</v>
      </c>
      <c r="F67" s="6">
        <v>0.31</v>
      </c>
      <c r="G67" s="6">
        <v>0.02</v>
      </c>
    </row>
    <row r="68">
      <c r="A68" s="15" t="s">
        <v>37</v>
      </c>
      <c r="B68" s="5">
        <v>2011.0</v>
      </c>
      <c r="C68" s="6">
        <v>218.0</v>
      </c>
      <c r="D68" s="6">
        <v>0.26</v>
      </c>
      <c r="E68" s="6">
        <v>0.23</v>
      </c>
      <c r="F68" s="6">
        <v>0.3</v>
      </c>
      <c r="G68" s="6">
        <v>0.02</v>
      </c>
    </row>
    <row r="69">
      <c r="A69" s="15" t="s">
        <v>37</v>
      </c>
      <c r="B69" s="5">
        <v>2012.0</v>
      </c>
      <c r="C69" s="6">
        <v>202.0</v>
      </c>
      <c r="D69" s="6">
        <v>0.25</v>
      </c>
      <c r="E69" s="6">
        <v>0.21</v>
      </c>
      <c r="F69" s="6">
        <v>0.28</v>
      </c>
      <c r="G69" s="6">
        <v>0.02</v>
      </c>
    </row>
    <row r="70">
      <c r="A70" s="15" t="s">
        <v>37</v>
      </c>
      <c r="B70" s="5">
        <v>2013.0</v>
      </c>
      <c r="C70" s="6">
        <v>232.0</v>
      </c>
      <c r="D70" s="6">
        <v>0.26</v>
      </c>
      <c r="E70" s="6">
        <v>0.22</v>
      </c>
      <c r="F70" s="6">
        <v>0.29</v>
      </c>
      <c r="G70" s="6">
        <v>0.02</v>
      </c>
    </row>
    <row r="71">
      <c r="A71" s="15" t="s">
        <v>37</v>
      </c>
      <c r="B71" s="5">
        <v>2014.0</v>
      </c>
      <c r="C71" s="6">
        <v>239.0</v>
      </c>
      <c r="D71" s="6">
        <v>0.26</v>
      </c>
      <c r="E71" s="6">
        <v>0.22</v>
      </c>
      <c r="F71" s="6">
        <v>0.29</v>
      </c>
      <c r="G71" s="6">
        <v>0.02</v>
      </c>
    </row>
    <row r="72">
      <c r="A72" s="15" t="s">
        <v>37</v>
      </c>
      <c r="B72" s="5">
        <v>2015.0</v>
      </c>
      <c r="C72" s="6">
        <v>228.0</v>
      </c>
      <c r="D72" s="6">
        <v>0.24</v>
      </c>
      <c r="E72" s="6">
        <v>0.21</v>
      </c>
      <c r="F72" s="6">
        <v>0.27</v>
      </c>
      <c r="G72" s="6">
        <v>0.02</v>
      </c>
    </row>
    <row r="73">
      <c r="A73" s="15" t="s">
        <v>37</v>
      </c>
      <c r="B73" s="5">
        <v>2016.0</v>
      </c>
      <c r="C73" s="6">
        <v>261.0</v>
      </c>
      <c r="D73" s="6">
        <v>0.27</v>
      </c>
      <c r="E73" s="6">
        <v>0.24</v>
      </c>
      <c r="F73" s="6">
        <v>0.31</v>
      </c>
      <c r="G73" s="6">
        <v>0.02</v>
      </c>
    </row>
    <row r="74">
      <c r="A74" s="15" t="s">
        <v>37</v>
      </c>
      <c r="B74" s="5">
        <v>2017.0</v>
      </c>
      <c r="C74" s="6">
        <v>277.0</v>
      </c>
      <c r="D74" s="6">
        <v>0.3</v>
      </c>
      <c r="E74" s="6">
        <v>0.26</v>
      </c>
      <c r="F74" s="6">
        <v>0.34</v>
      </c>
      <c r="G74" s="6">
        <v>0.02</v>
      </c>
    </row>
    <row r="75">
      <c r="A75" s="15" t="s">
        <v>37</v>
      </c>
      <c r="B75" s="5">
        <v>2018.0</v>
      </c>
      <c r="C75" s="6">
        <v>276.0</v>
      </c>
      <c r="D75" s="6">
        <v>0.3</v>
      </c>
      <c r="E75" s="6">
        <v>0.26</v>
      </c>
      <c r="F75" s="6">
        <v>0.34</v>
      </c>
      <c r="G75" s="6">
        <v>0.02</v>
      </c>
    </row>
    <row r="76">
      <c r="A76" s="15" t="s">
        <v>37</v>
      </c>
      <c r="B76" s="5">
        <v>2019.0</v>
      </c>
      <c r="C76" s="6">
        <v>280.0</v>
      </c>
      <c r="D76" s="6">
        <v>0.28</v>
      </c>
      <c r="E76" s="6">
        <v>0.25</v>
      </c>
      <c r="F76" s="6">
        <v>0.32</v>
      </c>
      <c r="G76" s="6">
        <v>0.02</v>
      </c>
    </row>
    <row r="77">
      <c r="A77" s="15" t="s">
        <v>37</v>
      </c>
      <c r="B77" s="5">
        <v>2020.0</v>
      </c>
      <c r="C77" s="6">
        <v>376.0</v>
      </c>
      <c r="D77" s="6">
        <v>0.36</v>
      </c>
      <c r="E77" s="6">
        <v>0.32</v>
      </c>
      <c r="F77" s="6">
        <v>0.4</v>
      </c>
      <c r="G77" s="6">
        <v>0.02</v>
      </c>
    </row>
    <row r="78">
      <c r="A78" s="15" t="s">
        <v>37</v>
      </c>
      <c r="B78" s="5">
        <v>2021.0</v>
      </c>
      <c r="C78" s="6">
        <v>377.0</v>
      </c>
      <c r="D78" s="6">
        <v>0.35</v>
      </c>
      <c r="E78" s="6">
        <v>0.31</v>
      </c>
      <c r="F78" s="6">
        <v>0.39</v>
      </c>
      <c r="G78" s="6">
        <v>0.02</v>
      </c>
    </row>
    <row r="79">
      <c r="A79" s="15" t="s">
        <v>37</v>
      </c>
      <c r="B79" s="5">
        <v>2022.0</v>
      </c>
      <c r="C79" s="6">
        <v>439.0</v>
      </c>
      <c r="D79" s="6">
        <v>0.43</v>
      </c>
      <c r="E79" s="6">
        <v>0.39</v>
      </c>
      <c r="F79" s="6">
        <v>0.47</v>
      </c>
      <c r="G79" s="6">
        <v>0.02</v>
      </c>
    </row>
    <row r="80">
      <c r="A80" s="15" t="s">
        <v>37</v>
      </c>
      <c r="B80" s="5">
        <v>2023.0</v>
      </c>
      <c r="C80" s="6">
        <v>425.0</v>
      </c>
      <c r="D80" s="6">
        <v>0.39</v>
      </c>
      <c r="E80" s="6">
        <v>0.35</v>
      </c>
      <c r="F80" s="6">
        <v>0.43</v>
      </c>
      <c r="G80" s="6">
        <v>0.02</v>
      </c>
    </row>
    <row r="81">
      <c r="A81" s="15" t="s">
        <v>37</v>
      </c>
      <c r="B81" s="5">
        <v>2024.0</v>
      </c>
      <c r="C81" s="6">
        <v>428.0</v>
      </c>
      <c r="D81" s="6">
        <v>0.39</v>
      </c>
      <c r="E81" s="6">
        <v>0.35</v>
      </c>
      <c r="F81" s="6">
        <v>0.43</v>
      </c>
      <c r="G81" s="6">
        <v>0.02</v>
      </c>
    </row>
    <row r="82">
      <c r="A82" s="12" t="s">
        <v>16</v>
      </c>
      <c r="B82" s="6"/>
      <c r="C82" s="13">
        <f>SUM(C56:C81)</f>
        <v>6653</v>
      </c>
    </row>
    <row r="83">
      <c r="A83" s="16" t="s">
        <v>38</v>
      </c>
      <c r="B83" s="5">
        <v>1999.0</v>
      </c>
      <c r="C83" s="6">
        <v>107.0</v>
      </c>
      <c r="D83" s="6">
        <v>0.29</v>
      </c>
      <c r="E83" s="6">
        <v>0.23</v>
      </c>
      <c r="F83" s="6">
        <v>0.35</v>
      </c>
      <c r="G83" s="6">
        <v>0.03</v>
      </c>
    </row>
    <row r="84">
      <c r="A84" s="16" t="s">
        <v>38</v>
      </c>
      <c r="B84" s="5">
        <v>2000.0</v>
      </c>
      <c r="C84" s="6">
        <v>98.0</v>
      </c>
      <c r="D84" s="6">
        <v>0.27</v>
      </c>
      <c r="E84" s="6">
        <v>0.22</v>
      </c>
      <c r="F84" s="6">
        <v>0.33</v>
      </c>
      <c r="G84" s="6">
        <v>0.03</v>
      </c>
    </row>
    <row r="85">
      <c r="A85" s="16" t="s">
        <v>38</v>
      </c>
      <c r="B85" s="5">
        <v>2001.0</v>
      </c>
      <c r="C85" s="6">
        <v>103.0</v>
      </c>
      <c r="D85" s="6">
        <v>0.29</v>
      </c>
      <c r="E85" s="6">
        <v>0.23</v>
      </c>
      <c r="F85" s="6">
        <v>0.35</v>
      </c>
      <c r="G85" s="6">
        <v>0.03</v>
      </c>
    </row>
    <row r="86">
      <c r="A86" s="16" t="s">
        <v>38</v>
      </c>
      <c r="B86" s="5">
        <v>2002.0</v>
      </c>
      <c r="C86" s="6">
        <v>113.0</v>
      </c>
      <c r="D86" s="6">
        <v>0.28</v>
      </c>
      <c r="E86" s="6">
        <v>0.22</v>
      </c>
      <c r="F86" s="6">
        <v>0.33</v>
      </c>
      <c r="G86" s="6">
        <v>0.03</v>
      </c>
    </row>
    <row r="87">
      <c r="A87" s="16" t="s">
        <v>38</v>
      </c>
      <c r="B87" s="5">
        <v>2003.0</v>
      </c>
      <c r="C87" s="6">
        <v>128.0</v>
      </c>
      <c r="D87" s="6">
        <v>0.32</v>
      </c>
      <c r="E87" s="6">
        <v>0.27</v>
      </c>
      <c r="F87" s="6">
        <v>0.38</v>
      </c>
      <c r="G87" s="6">
        <v>0.03</v>
      </c>
    </row>
    <row r="88">
      <c r="A88" s="16" t="s">
        <v>38</v>
      </c>
      <c r="B88" s="5">
        <v>2004.0</v>
      </c>
      <c r="C88" s="6">
        <v>131.0</v>
      </c>
      <c r="D88" s="6">
        <v>0.33</v>
      </c>
      <c r="E88" s="6">
        <v>0.27</v>
      </c>
      <c r="F88" s="6">
        <v>0.38</v>
      </c>
      <c r="G88" s="6">
        <v>0.03</v>
      </c>
    </row>
    <row r="89">
      <c r="A89" s="16" t="s">
        <v>38</v>
      </c>
      <c r="B89" s="5">
        <v>2005.0</v>
      </c>
      <c r="C89" s="6">
        <v>120.0</v>
      </c>
      <c r="D89" s="6">
        <v>0.28</v>
      </c>
      <c r="E89" s="6">
        <v>0.22</v>
      </c>
      <c r="F89" s="6">
        <v>0.33</v>
      </c>
      <c r="G89" s="6">
        <v>0.03</v>
      </c>
    </row>
    <row r="90">
      <c r="A90" s="16" t="s">
        <v>38</v>
      </c>
      <c r="B90" s="5">
        <v>2006.0</v>
      </c>
      <c r="C90" s="6">
        <v>133.0</v>
      </c>
      <c r="D90" s="6">
        <v>0.31</v>
      </c>
      <c r="E90" s="6">
        <v>0.25</v>
      </c>
      <c r="F90" s="6">
        <v>0.36</v>
      </c>
      <c r="G90" s="6">
        <v>0.03</v>
      </c>
    </row>
    <row r="91">
      <c r="A91" s="16" t="s">
        <v>38</v>
      </c>
      <c r="B91" s="5">
        <v>2007.0</v>
      </c>
      <c r="C91" s="6">
        <v>127.0</v>
      </c>
      <c r="D91" s="6">
        <v>0.29</v>
      </c>
      <c r="E91" s="6">
        <v>0.24</v>
      </c>
      <c r="F91" s="6">
        <v>0.35</v>
      </c>
      <c r="G91" s="6">
        <v>0.03</v>
      </c>
    </row>
    <row r="92">
      <c r="A92" s="16" t="s">
        <v>38</v>
      </c>
      <c r="B92" s="5">
        <v>2008.0</v>
      </c>
      <c r="C92" s="6">
        <v>122.0</v>
      </c>
      <c r="D92" s="6">
        <v>0.27</v>
      </c>
      <c r="E92" s="6">
        <v>0.22</v>
      </c>
      <c r="F92" s="6">
        <v>0.32</v>
      </c>
      <c r="G92" s="6">
        <v>0.03</v>
      </c>
    </row>
    <row r="93">
      <c r="A93" s="16" t="s">
        <v>38</v>
      </c>
      <c r="B93" s="5">
        <v>2009.0</v>
      </c>
      <c r="C93" s="6">
        <v>139.0</v>
      </c>
      <c r="D93" s="6">
        <v>0.31</v>
      </c>
      <c r="E93" s="6">
        <v>0.26</v>
      </c>
      <c r="F93" s="6">
        <v>0.37</v>
      </c>
      <c r="G93" s="6">
        <v>0.03</v>
      </c>
    </row>
    <row r="94">
      <c r="A94" s="16" t="s">
        <v>38</v>
      </c>
      <c r="B94" s="5">
        <v>2010.0</v>
      </c>
      <c r="C94" s="6">
        <v>142.0</v>
      </c>
      <c r="D94" s="6">
        <v>0.31</v>
      </c>
      <c r="E94" s="6">
        <v>0.26</v>
      </c>
      <c r="F94" s="6">
        <v>0.36</v>
      </c>
      <c r="G94" s="6">
        <v>0.03</v>
      </c>
    </row>
    <row r="95">
      <c r="A95" s="16" t="s">
        <v>38</v>
      </c>
      <c r="B95" s="5">
        <v>2011.0</v>
      </c>
      <c r="C95" s="6">
        <v>147.0</v>
      </c>
      <c r="D95" s="6">
        <v>0.29</v>
      </c>
      <c r="E95" s="6">
        <v>0.24</v>
      </c>
      <c r="F95" s="6">
        <v>0.34</v>
      </c>
      <c r="G95" s="6">
        <v>0.02</v>
      </c>
    </row>
    <row r="96">
      <c r="A96" s="16" t="s">
        <v>38</v>
      </c>
      <c r="B96" s="5">
        <v>2012.0</v>
      </c>
      <c r="C96" s="6">
        <v>131.0</v>
      </c>
      <c r="D96" s="6">
        <v>0.25</v>
      </c>
      <c r="E96" s="6">
        <v>0.21</v>
      </c>
      <c r="F96" s="6">
        <v>0.3</v>
      </c>
      <c r="G96" s="6">
        <v>0.02</v>
      </c>
    </row>
    <row r="97">
      <c r="A97" s="16" t="s">
        <v>38</v>
      </c>
      <c r="B97" s="5">
        <v>2013.0</v>
      </c>
      <c r="C97" s="6">
        <v>160.0</v>
      </c>
      <c r="D97" s="6">
        <v>0.32</v>
      </c>
      <c r="E97" s="6">
        <v>0.27</v>
      </c>
      <c r="F97" s="6">
        <v>0.37</v>
      </c>
      <c r="G97" s="6">
        <v>0.03</v>
      </c>
    </row>
    <row r="98">
      <c r="A98" s="16" t="s">
        <v>38</v>
      </c>
      <c r="B98" s="5">
        <v>2014.0</v>
      </c>
      <c r="C98" s="6">
        <v>171.0</v>
      </c>
      <c r="D98" s="6">
        <v>0.32</v>
      </c>
      <c r="E98" s="6">
        <v>0.27</v>
      </c>
      <c r="F98" s="6">
        <v>0.37</v>
      </c>
      <c r="G98" s="6">
        <v>0.03</v>
      </c>
    </row>
    <row r="99">
      <c r="A99" s="16" t="s">
        <v>38</v>
      </c>
      <c r="B99" s="5">
        <v>2015.0</v>
      </c>
      <c r="C99" s="6">
        <v>157.0</v>
      </c>
      <c r="D99" s="6">
        <v>0.3</v>
      </c>
      <c r="E99" s="6">
        <v>0.25</v>
      </c>
      <c r="F99" s="6">
        <v>0.35</v>
      </c>
      <c r="G99" s="6">
        <v>0.02</v>
      </c>
    </row>
    <row r="100">
      <c r="A100" s="16" t="s">
        <v>38</v>
      </c>
      <c r="B100" s="5">
        <v>2016.0</v>
      </c>
      <c r="C100" s="6">
        <v>198.0</v>
      </c>
      <c r="D100" s="6">
        <v>0.35</v>
      </c>
      <c r="E100" s="6">
        <v>0.3</v>
      </c>
      <c r="F100" s="6">
        <v>0.4</v>
      </c>
      <c r="G100" s="6">
        <v>0.03</v>
      </c>
    </row>
    <row r="101">
      <c r="A101" s="16" t="s">
        <v>38</v>
      </c>
      <c r="B101" s="5">
        <v>2017.0</v>
      </c>
      <c r="C101" s="6">
        <v>187.0</v>
      </c>
      <c r="D101" s="6">
        <v>0.31</v>
      </c>
      <c r="E101" s="6">
        <v>0.27</v>
      </c>
      <c r="F101" s="6">
        <v>0.36</v>
      </c>
      <c r="G101" s="6">
        <v>0.02</v>
      </c>
    </row>
    <row r="102">
      <c r="A102" s="16" t="s">
        <v>38</v>
      </c>
      <c r="B102" s="5">
        <v>2018.0</v>
      </c>
      <c r="C102" s="6">
        <v>186.0</v>
      </c>
      <c r="D102" s="6">
        <v>0.32</v>
      </c>
      <c r="E102" s="6">
        <v>0.27</v>
      </c>
      <c r="F102" s="6">
        <v>0.37</v>
      </c>
      <c r="G102" s="6">
        <v>0.02</v>
      </c>
    </row>
    <row r="103">
      <c r="A103" s="16" t="s">
        <v>38</v>
      </c>
      <c r="B103" s="5">
        <v>2019.0</v>
      </c>
      <c r="C103" s="6">
        <v>192.0</v>
      </c>
      <c r="D103" s="6">
        <v>0.33</v>
      </c>
      <c r="E103" s="6">
        <v>0.28</v>
      </c>
      <c r="F103" s="6">
        <v>0.38</v>
      </c>
      <c r="G103" s="6">
        <v>0.02</v>
      </c>
    </row>
    <row r="104">
      <c r="A104" s="16" t="s">
        <v>38</v>
      </c>
      <c r="B104" s="5">
        <v>2020.0</v>
      </c>
      <c r="C104" s="6">
        <v>257.0</v>
      </c>
      <c r="D104" s="6">
        <v>0.42</v>
      </c>
      <c r="E104" s="6">
        <v>0.36</v>
      </c>
      <c r="F104" s="6">
        <v>0.47</v>
      </c>
      <c r="G104" s="6">
        <v>0.03</v>
      </c>
    </row>
    <row r="105">
      <c r="A105" s="16" t="s">
        <v>38</v>
      </c>
      <c r="B105" s="5">
        <v>2021.0</v>
      </c>
      <c r="C105" s="6">
        <v>294.0</v>
      </c>
      <c r="D105" s="6">
        <v>0.5</v>
      </c>
      <c r="E105" s="6">
        <v>0.44</v>
      </c>
      <c r="F105" s="6">
        <v>0.56</v>
      </c>
      <c r="G105" s="6">
        <v>0.03</v>
      </c>
    </row>
    <row r="106">
      <c r="A106" s="16" t="s">
        <v>38</v>
      </c>
      <c r="B106" s="5">
        <v>2022.0</v>
      </c>
      <c r="C106" s="6">
        <v>285.0</v>
      </c>
      <c r="D106" s="6">
        <v>0.46</v>
      </c>
      <c r="E106" s="6">
        <v>0.4</v>
      </c>
      <c r="F106" s="6">
        <v>0.51</v>
      </c>
      <c r="G106" s="6">
        <v>0.03</v>
      </c>
    </row>
    <row r="107">
      <c r="A107" s="16" t="s">
        <v>38</v>
      </c>
      <c r="B107" s="5">
        <v>2023.0</v>
      </c>
      <c r="C107" s="6">
        <v>288.0</v>
      </c>
      <c r="D107" s="6">
        <v>0.47</v>
      </c>
      <c r="E107" s="6">
        <v>0.42</v>
      </c>
      <c r="F107" s="6">
        <v>0.53</v>
      </c>
      <c r="G107" s="6">
        <v>0.03</v>
      </c>
    </row>
    <row r="108">
      <c r="A108" s="16" t="s">
        <v>38</v>
      </c>
      <c r="B108" s="5">
        <v>2024.0</v>
      </c>
      <c r="C108" s="6">
        <v>249.0</v>
      </c>
      <c r="D108" s="6">
        <v>0.37</v>
      </c>
      <c r="E108" s="6">
        <v>0.33</v>
      </c>
      <c r="F108" s="6">
        <v>0.42</v>
      </c>
      <c r="G108" s="6">
        <v>0.02</v>
      </c>
    </row>
    <row r="109">
      <c r="A109" s="12" t="s">
        <v>16</v>
      </c>
      <c r="C109" s="13">
        <f>SUM(C83:C108)</f>
        <v>4365</v>
      </c>
    </row>
  </sheetData>
  <mergeCells count="3">
    <mergeCell ref="I23:M23"/>
    <mergeCell ref="I30:Q30"/>
    <mergeCell ref="I41:Q41"/>
  </mergeCells>
  <drawing r:id="rId1"/>
</worksheet>
</file>